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BuÇalışmaKitabı" defaultThemeVersion="164011"/>
  <bookViews>
    <workbookView showSheetTabs="0" xWindow="0" yWindow="0" windowWidth="22260" windowHeight="12648"/>
  </bookViews>
  <sheets>
    <sheet name="Kullanıcı Ekranı" sheetId="6" r:id="rId1"/>
    <sheet name="rapor" sheetId="8" r:id="rId2"/>
    <sheet name="VeriYedek" sheetId="5" r:id="rId3"/>
    <sheet name="Veri" sheetId="1" r:id="rId4"/>
    <sheet name="Portföy" sheetId="2" r:id="rId5"/>
    <sheet name="Gecmis" sheetId="3" r:id="rId6"/>
    <sheet name="BİST100" sheetId="4" r:id="rId7"/>
  </sheets>
  <definedNames>
    <definedName name="DışVeri_1" localSheetId="6" hidden="1">BİST100!$A$1:$J$101</definedName>
    <definedName name="DışVeri_1" localSheetId="0" hidden="1">'Kullanıcı Ekranı'!$A$5:$D$9</definedName>
    <definedName name="DışVeri_1" localSheetId="1" hidden="1">rapor!$B$4:$D$9</definedName>
    <definedName name="DışVeri_2" localSheetId="0" hidden="1">'Kullanıcı Ekranı'!$A$15:$D$16</definedName>
    <definedName name="DışVeri_2" localSheetId="1" hidden="1">rapor!$F$4:$I$9</definedName>
    <definedName name="DışVeri_3" localSheetId="0" hidden="1">'Kullanıcı Ekranı'!$A$22:$D$23</definedName>
    <definedName name="_xlnm.Print_Area" localSheetId="5">Gecmis!$A$1:$G$1000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6" l="1"/>
  <c r="O6" i="6" l="1"/>
  <c r="O7" i="6"/>
  <c r="O8" i="6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connections.xml><?xml version="1.0" encoding="utf-8"?>
<connections xmlns="http://schemas.openxmlformats.org/spreadsheetml/2006/main">
  <connection id="1" keepAlive="1" interval="1" name="Sorgu - Table 0" description="Çalışma kitabındaki 'Table 0' sorgusuna yönelik bağlantı." type="5" refreshedVersion="6" background="1" refreshOnLoad="1" saveData="1">
    <dbPr connection="Provider=Microsoft.Mashup.OleDb.1;Data Source=$Workbook$;Location=Table 0;Extended Properties=&quot;&quot;" command="SELECT * FROM [Table 0]"/>
  </connection>
  <connection id="2" keepAlive="1" interval="3" name="Sorgu - Table 0 (10)" description="Çalışma kitabındaki 'Table 0 (10)' sorgusuna yönelik bağlantı." type="5" refreshedVersion="6" background="1" refreshOnLoad="1" saveData="1">
    <dbPr connection="Provider=Microsoft.Mashup.OleDb.1;Data Source=$Workbook$;Location=Table 0 (10);Extended Properties=&quot;&quot;" command="SELECT * FROM [Table 0 (10)]"/>
  </connection>
  <connection id="3" keepAlive="1" interval="3" name="Sorgu - Table 0 (11)" description="Çalışma kitabındaki 'Table 0 (11)' sorgusuna yönelik bağlantı." type="5" refreshedVersion="6" background="1" refreshOnLoad="1" saveData="1">
    <dbPr connection="Provider=Microsoft.Mashup.OleDb.1;Data Source=$Workbook$;Location=Table 0 (11);Extended Properties=&quot;&quot;" command="SELECT * FROM [Table 0 (11)]"/>
  </connection>
  <connection id="4" keepAlive="1" interval="30" name="Sorgu - Table 0 (14)" description="Çalışma kitabındaki 'Table 0 (14)' sorgusuna yönelik bağlantı." type="5" refreshedVersion="6" background="1" refreshOnLoad="1" saveData="1">
    <dbPr connection="Provider=Microsoft.Mashup.OleDb.1;Data Source=$Workbook$;Location=Table 0 (14);Extended Properties=&quot;&quot;" command="SELECT * FROM [Table 0 (14)]"/>
  </connection>
  <connection id="5" keepAlive="1" interval="30" name="Sorgu - Table 0 (15)" description="Çalışma kitabındaki 'Table 0 (15)' sorgusuna yönelik bağlantı." type="5" refreshedVersion="6" background="1" refreshOnLoad="1" saveData="1">
    <dbPr connection="Provider=Microsoft.Mashup.OleDb.1;Data Source=$Workbook$;Location=Table 0 (15);Extended Properties=&quot;&quot;" command="SELECT * FROM [Table 0 (15)]"/>
  </connection>
  <connection id="6" keepAlive="1" interval="2" name="Sorgu - Table 0 (7)" description="Çalışma kitabındaki 'Table 0 (7)' sorgusuna yönelik bağlantı." type="5" refreshedVersion="6" background="1" refreshOnLoad="1" saveData="1">
    <dbPr connection="Provider=Microsoft.Mashup.OleDb.1;Data Source=$Workbook$;Location=Table 0 (7);Extended Properties=&quot;&quot;" command="SELECT * FROM [Table 0 (7)]"/>
  </connection>
</connections>
</file>

<file path=xl/sharedStrings.xml><?xml version="1.0" encoding="utf-8"?>
<sst xmlns="http://schemas.openxmlformats.org/spreadsheetml/2006/main" count="394" uniqueCount="261">
  <si>
    <t>Güncel Fiyat</t>
  </si>
  <si>
    <t>AKBNK</t>
  </si>
  <si>
    <t>THYAO</t>
  </si>
  <si>
    <t>SISE</t>
  </si>
  <si>
    <t>KRDMD</t>
  </si>
  <si>
    <t>hisse</t>
  </si>
  <si>
    <t>adet</t>
  </si>
  <si>
    <t>tarih</t>
  </si>
  <si>
    <t>işlem</t>
  </si>
  <si>
    <t>fiyat</t>
  </si>
  <si>
    <t>toplam</t>
  </si>
  <si>
    <t>bakiye</t>
  </si>
  <si>
    <t>Toplam Maliyet</t>
  </si>
  <si>
    <t>Güncel Portföy</t>
  </si>
  <si>
    <t>Toplam Kâr/Zarar</t>
  </si>
  <si>
    <t>Kâr/Zarar Oranı (%)</t>
  </si>
  <si>
    <t>Hisse</t>
  </si>
  <si>
    <t>Adet</t>
  </si>
  <si>
    <t>Alış Fiyatı</t>
  </si>
  <si>
    <t>Toplam Değer</t>
  </si>
  <si>
    <t>Kar/Zarar</t>
  </si>
  <si>
    <t>Kar/Zarar (%)</t>
  </si>
  <si>
    <t>ASELS</t>
  </si>
  <si>
    <t>GARAN</t>
  </si>
  <si>
    <t>BIMAS</t>
  </si>
  <si>
    <t>TUPRS</t>
  </si>
  <si>
    <t>YKBNK</t>
  </si>
  <si>
    <t>ISCTR</t>
  </si>
  <si>
    <t>KOZAL</t>
  </si>
  <si>
    <t>FROTO</t>
  </si>
  <si>
    <t>PETKM</t>
  </si>
  <si>
    <t>TOASO</t>
  </si>
  <si>
    <t>HEKTS</t>
  </si>
  <si>
    <t>SASA</t>
  </si>
  <si>
    <t>VAKBN</t>
  </si>
  <si>
    <t>EREGL</t>
  </si>
  <si>
    <t>ALARK</t>
  </si>
  <si>
    <t>KCHOL</t>
  </si>
  <si>
    <t xml:space="preserve">Hisse </t>
  </si>
  <si>
    <t>Fiyat (₺)</t>
  </si>
  <si>
    <t>Son</t>
  </si>
  <si>
    <t>Alış</t>
  </si>
  <si>
    <t>Satış</t>
  </si>
  <si>
    <t>Fark</t>
  </si>
  <si>
    <t>En Düşük</t>
  </si>
  <si>
    <t>En Yüksek</t>
  </si>
  <si>
    <t>AOF</t>
  </si>
  <si>
    <t>Hacim TL</t>
  </si>
  <si>
    <t>Hacim Lot</t>
  </si>
  <si>
    <t>AEFES</t>
  </si>
  <si>
    <t>AGHOL</t>
  </si>
  <si>
    <t>AGROT</t>
  </si>
  <si>
    <t>AHGAZ</t>
  </si>
  <si>
    <t>AKSA</t>
  </si>
  <si>
    <t>AKSEN</t>
  </si>
  <si>
    <t>ALFAS</t>
  </si>
  <si>
    <t>ALTNY</t>
  </si>
  <si>
    <t>ANHYT</t>
  </si>
  <si>
    <t>ANSGR</t>
  </si>
  <si>
    <t>ARCLK</t>
  </si>
  <si>
    <t>ARDYZ</t>
  </si>
  <si>
    <t>ASTOR</t>
  </si>
  <si>
    <t>AVPGY</t>
  </si>
  <si>
    <t>BERA</t>
  </si>
  <si>
    <t>BRSAN</t>
  </si>
  <si>
    <t>BRYAT</t>
  </si>
  <si>
    <t>BSOKE</t>
  </si>
  <si>
    <t>BTCIM</t>
  </si>
  <si>
    <t>CANTE</t>
  </si>
  <si>
    <t>CCOLA</t>
  </si>
  <si>
    <t>CIMSA</t>
  </si>
  <si>
    <t>CLEBI</t>
  </si>
  <si>
    <t>CWENE</t>
  </si>
  <si>
    <t>DOAS</t>
  </si>
  <si>
    <t>DOHOL</t>
  </si>
  <si>
    <t>ECILC</t>
  </si>
  <si>
    <t>EFORC</t>
  </si>
  <si>
    <t>EGEEN</t>
  </si>
  <si>
    <t>EKGYO</t>
  </si>
  <si>
    <t>ENERY</t>
  </si>
  <si>
    <t>ENJSA</t>
  </si>
  <si>
    <t>ENKAI</t>
  </si>
  <si>
    <t>EUPWR</t>
  </si>
  <si>
    <t>GESAN</t>
  </si>
  <si>
    <t>GOLTS</t>
  </si>
  <si>
    <t>GRTHO</t>
  </si>
  <si>
    <t>GSRAY</t>
  </si>
  <si>
    <t>GUBRF</t>
  </si>
  <si>
    <t>HALKB</t>
  </si>
  <si>
    <t>IEYHO</t>
  </si>
  <si>
    <t>ISMEN</t>
  </si>
  <si>
    <t>KARSN</t>
  </si>
  <si>
    <t>KCAER</t>
  </si>
  <si>
    <t>KONTR</t>
  </si>
  <si>
    <t>KONYA</t>
  </si>
  <si>
    <t>KOZAA</t>
  </si>
  <si>
    <t>KTLEV</t>
  </si>
  <si>
    <t>LMKDC</t>
  </si>
  <si>
    <t>MAGEN</t>
  </si>
  <si>
    <t>MAVI</t>
  </si>
  <si>
    <t>MGROS</t>
  </si>
  <si>
    <t>MIATK</t>
  </si>
  <si>
    <t>MPARK</t>
  </si>
  <si>
    <t>OBAMS</t>
  </si>
  <si>
    <t>ODAS</t>
  </si>
  <si>
    <t>OTKAR</t>
  </si>
  <si>
    <t>OYAKC</t>
  </si>
  <si>
    <t>PASEU</t>
  </si>
  <si>
    <t>PGSUS</t>
  </si>
  <si>
    <t>RALYH</t>
  </si>
  <si>
    <t>REEDR</t>
  </si>
  <si>
    <t>RYGYO</t>
  </si>
  <si>
    <t>SAHOL</t>
  </si>
  <si>
    <t>SELEC</t>
  </si>
  <si>
    <t>SKBNK</t>
  </si>
  <si>
    <t>SMRTG</t>
  </si>
  <si>
    <t>SOKM</t>
  </si>
  <si>
    <t>TABGD</t>
  </si>
  <si>
    <t>TAVHL</t>
  </si>
  <si>
    <t>TCELL</t>
  </si>
  <si>
    <t>TKFEN</t>
  </si>
  <si>
    <t>TSKB</t>
  </si>
  <si>
    <t>TTKOM</t>
  </si>
  <si>
    <t>TTRAK</t>
  </si>
  <si>
    <t>TURSG</t>
  </si>
  <si>
    <t>ULKER</t>
  </si>
  <si>
    <t>VESTL</t>
  </si>
  <si>
    <t>YEOTK</t>
  </si>
  <si>
    <t>ZOREN</t>
  </si>
  <si>
    <t>BİST 100 SİMÜLASYON</t>
  </si>
  <si>
    <t>Serbest Piyasada Altın</t>
  </si>
  <si>
    <t>Değişim</t>
  </si>
  <si>
    <t>ALTIN (GRAM)</t>
  </si>
  <si>
    <t>ALTIN (ONS)</t>
  </si>
  <si>
    <t>Çeyrek Altın</t>
  </si>
  <si>
    <t>Yarım Altın</t>
  </si>
  <si>
    <t>Altın Fiyatları</t>
  </si>
  <si>
    <t>Canlı Döviz Kurları</t>
  </si>
  <si>
    <t>DOLAR</t>
  </si>
  <si>
    <t>EURO</t>
  </si>
  <si>
    <t>Finansal Durumunuz</t>
  </si>
  <si>
    <t>Toplam Bakiye</t>
  </si>
  <si>
    <t>Portföy Toplam Değeri</t>
  </si>
  <si>
    <t>Toplam Kar/Zarar</t>
  </si>
  <si>
    <t>Mevcut Bakiye</t>
  </si>
  <si>
    <t>Finans Haberleri</t>
  </si>
  <si>
    <t>-</t>
  </si>
  <si>
    <t>EN ÇOK ARTAN 5 HİSSE</t>
  </si>
  <si>
    <t>SANFM</t>
  </si>
  <si>
    <t>EN ÇOK AZALAN  5 HİSSE</t>
  </si>
  <si>
    <t>KRGYO</t>
  </si>
  <si>
    <t>289,25</t>
  </si>
  <si>
    <t>TUREX</t>
  </si>
  <si>
    <t>DOBUR</t>
  </si>
  <si>
    <t>371,75</t>
  </si>
  <si>
    <t>KUYAS</t>
  </si>
  <si>
    <t>49,00</t>
  </si>
  <si>
    <t>MARBL</t>
  </si>
  <si>
    <t>13,86</t>
  </si>
  <si>
    <t>VANGD</t>
  </si>
  <si>
    <t>34,82</t>
  </si>
  <si>
    <t>AKFIS</t>
  </si>
  <si>
    <t>23,58</t>
  </si>
  <si>
    <t>139,30</t>
  </si>
  <si>
    <t>256,00</t>
  </si>
  <si>
    <t>7,44</t>
  </si>
  <si>
    <t>23,88</t>
  </si>
  <si>
    <t>50,95</t>
  </si>
  <si>
    <t>9,05</t>
  </si>
  <si>
    <t>32,44</t>
  </si>
  <si>
    <t>81,00</t>
  </si>
  <si>
    <t>44,06</t>
  </si>
  <si>
    <t>69,85</t>
  </si>
  <si>
    <t>75,65</t>
  </si>
  <si>
    <t>87,25</t>
  </si>
  <si>
    <t>105,30</t>
  </si>
  <si>
    <t>26,56</t>
  </si>
  <si>
    <t>129,60</t>
  </si>
  <si>
    <t>93,10</t>
  </si>
  <si>
    <t>52,25</t>
  </si>
  <si>
    <t>14,05</t>
  </si>
  <si>
    <t>476,00</t>
  </si>
  <si>
    <t>329,00</t>
  </si>
  <si>
    <t>1.836,00</t>
  </si>
  <si>
    <t>16,35</t>
  </si>
  <si>
    <t>4,96</t>
  </si>
  <si>
    <t>1,53</t>
  </si>
  <si>
    <t>48,76</t>
  </si>
  <si>
    <t>48,20</t>
  </si>
  <si>
    <t>1.793,00</t>
  </si>
  <si>
    <t>14,33</t>
  </si>
  <si>
    <t>173,50</t>
  </si>
  <si>
    <t>14,66</t>
  </si>
  <si>
    <t>45,00</t>
  </si>
  <si>
    <t>102,40</t>
  </si>
  <si>
    <t>8.127,50</t>
  </si>
  <si>
    <t>13,98</t>
  </si>
  <si>
    <t>4,87</t>
  </si>
  <si>
    <t>52,05</t>
  </si>
  <si>
    <t>60,25</t>
  </si>
  <si>
    <t>23,40</t>
  </si>
  <si>
    <t>26,30</t>
  </si>
  <si>
    <t>80,10</t>
  </si>
  <si>
    <t>105,90</t>
  </si>
  <si>
    <t>42,06</t>
  </si>
  <si>
    <t>340,75</t>
  </si>
  <si>
    <t>1,79</t>
  </si>
  <si>
    <t>19,43</t>
  </si>
  <si>
    <t>3,09</t>
  </si>
  <si>
    <t>13,32</t>
  </si>
  <si>
    <t>10,75</t>
  </si>
  <si>
    <t>32,80</t>
  </si>
  <si>
    <t>9,93</t>
  </si>
  <si>
    <t>13,18</t>
  </si>
  <si>
    <t>141,70</t>
  </si>
  <si>
    <t>25,20</t>
  </si>
  <si>
    <t>5.255,00</t>
  </si>
  <si>
    <t>86,10</t>
  </si>
  <si>
    <t>23,16</t>
  </si>
  <si>
    <t>22,04</t>
  </si>
  <si>
    <t>97,90</t>
  </si>
  <si>
    <t>26,20</t>
  </si>
  <si>
    <t>33,94</t>
  </si>
  <si>
    <t>30,50</t>
  </si>
  <si>
    <t>476,75</t>
  </si>
  <si>
    <t>30,82</t>
  </si>
  <si>
    <t>315,00</t>
  </si>
  <si>
    <t>49,44</t>
  </si>
  <si>
    <t>4,69</t>
  </si>
  <si>
    <t>387,75</t>
  </si>
  <si>
    <t>21,00</t>
  </si>
  <si>
    <t>77,45</t>
  </si>
  <si>
    <t>16,27</t>
  </si>
  <si>
    <t>241,20</t>
  </si>
  <si>
    <t>131,10</t>
  </si>
  <si>
    <t>11,48</t>
  </si>
  <si>
    <t>12,86</t>
  </si>
  <si>
    <t>76,60</t>
  </si>
  <si>
    <t>3,25</t>
  </si>
  <si>
    <t>68,30</t>
  </si>
  <si>
    <t>33,00</t>
  </si>
  <si>
    <t>4,50</t>
  </si>
  <si>
    <t>27,58</t>
  </si>
  <si>
    <t>33,14</t>
  </si>
  <si>
    <t>172,90</t>
  </si>
  <si>
    <t>217,60</t>
  </si>
  <si>
    <t>94,85</t>
  </si>
  <si>
    <t>273,25</t>
  </si>
  <si>
    <t>111,00</t>
  </si>
  <si>
    <t>176,90</t>
  </si>
  <si>
    <t>10,89</t>
  </si>
  <si>
    <t>55,15</t>
  </si>
  <si>
    <t>559,00</t>
  </si>
  <si>
    <t>124,00</t>
  </si>
  <si>
    <t>16,49</t>
  </si>
  <si>
    <t>105,50</t>
  </si>
  <si>
    <t>22,50</t>
  </si>
  <si>
    <t>33,12</t>
  </si>
  <si>
    <t>40,00</t>
  </si>
  <si>
    <t>25,46</t>
  </si>
  <si>
    <t>2,98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</si>
</sst>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₺&quot;#,##0.00;\-&quot;₺&quot;#,##0.00"/>
    <numFmt numFmtId="44" formatCode="_-&quot;₺&quot;* #,##0.00_-;\-&quot;₺&quot;* #,##0.00_-;_-&quot;₺&quot;* &quot;-&quot;??_-;_-@_-"/>
    <numFmt numFmtId="164" formatCode="[$-F400]\h\:\m\m\:hh\ AM/PM"/>
    <numFmt numFmtId="165" formatCode="&quot;₺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20"/>
      <color theme="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0"/>
      <name val="Arial Black"/>
      <family val="2"/>
      <charset val="162"/>
    </font>
    <font>
      <sz val="22"/>
      <color theme="1"/>
      <name val="Calibri"/>
      <family val="2"/>
      <scheme val="minor"/>
    </font>
    <font>
      <b/>
      <u/>
      <sz val="11"/>
      <color theme="0"/>
      <name val="Arial Black"/>
      <family val="2"/>
      <charset val="162"/>
    </font>
    <font>
      <b/>
      <sz val="11"/>
      <color theme="0"/>
      <name val="Arial Black"/>
      <family val="2"/>
      <charset val="162"/>
    </font>
    <font>
      <u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bgColor theme="3" tint="-0.249977111117893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theme="7" tint="0.59999389629810485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1">
    <xf numFmtId="0" fontId="0" fillId="0" borderId="0" xfId="0"/>
    <xf numFmtId="7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NumberFormat="1"/>
    <xf numFmtId="0" fontId="0" fillId="2" borderId="1" xfId="0" applyNumberFormat="1" applyFont="1" applyFill="1" applyBorder="1"/>
    <xf numFmtId="0" fontId="0" fillId="0" borderId="1" xfId="0" applyNumberFormat="1" applyFont="1" applyBorder="1"/>
    <xf numFmtId="0" fontId="2" fillId="0" borderId="1" xfId="0" applyFont="1" applyBorder="1"/>
    <xf numFmtId="3" fontId="0" fillId="0" borderId="0" xfId="0" applyNumberFormat="1"/>
    <xf numFmtId="0" fontId="0" fillId="4" borderId="0" xfId="0" applyFill="1"/>
    <xf numFmtId="0" fontId="0" fillId="4" borderId="0" xfId="0" applyNumberFormat="1" applyFill="1"/>
    <xf numFmtId="0" fontId="0" fillId="4" borderId="0" xfId="0" applyNumberFormat="1" applyFill="1" applyAlignment="1"/>
    <xf numFmtId="164" fontId="0" fillId="4" borderId="0" xfId="0" applyNumberFormat="1" applyFill="1"/>
    <xf numFmtId="0" fontId="0" fillId="5" borderId="1" xfId="0" applyNumberFormat="1" applyFill="1" applyBorder="1"/>
    <xf numFmtId="0" fontId="0" fillId="4" borderId="0" xfId="0" applyNumberFormat="1" applyFont="1" applyFill="1" applyAlignment="1">
      <alignment horizontal="center" vertical="center"/>
    </xf>
    <xf numFmtId="0" fontId="0" fillId="6" borderId="0" xfId="0" applyNumberFormat="1" applyFill="1"/>
    <xf numFmtId="0" fontId="5" fillId="6" borderId="0" xfId="0" applyNumberFormat="1" applyFont="1" applyFill="1"/>
    <xf numFmtId="0" fontId="5" fillId="7" borderId="0" xfId="0" applyNumberFormat="1" applyFont="1" applyFill="1"/>
    <xf numFmtId="0" fontId="7" fillId="8" borderId="1" xfId="0" applyFont="1" applyFill="1" applyBorder="1"/>
    <xf numFmtId="165" fontId="8" fillId="8" borderId="1" xfId="1" applyNumberFormat="1" applyFont="1" applyFill="1" applyBorder="1" applyAlignment="1">
      <alignment horizontal="center" vertical="center"/>
    </xf>
    <xf numFmtId="7" fontId="8" fillId="8" borderId="1" xfId="0" applyNumberFormat="1" applyFont="1" applyFill="1" applyBorder="1" applyAlignment="1">
      <alignment horizontal="center" vertical="center"/>
    </xf>
    <xf numFmtId="0" fontId="0" fillId="0" borderId="1" xfId="0" applyBorder="1"/>
    <xf numFmtId="7" fontId="0" fillId="0" borderId="1" xfId="0" applyNumberFormat="1" applyBorder="1"/>
    <xf numFmtId="0" fontId="0" fillId="9" borderId="1" xfId="0" applyFill="1" applyBorder="1"/>
    <xf numFmtId="0" fontId="0" fillId="9" borderId="1" xfId="0" applyFill="1" applyBorder="1" applyAlignment="1">
      <alignment vertical="center" wrapText="1"/>
    </xf>
    <xf numFmtId="7" fontId="1" fillId="11" borderId="1" xfId="0" applyNumberFormat="1" applyFont="1" applyFill="1" applyBorder="1" applyAlignment="1">
      <alignment horizontal="center" vertical="center" wrapText="1"/>
    </xf>
    <xf numFmtId="7" fontId="0" fillId="11" borderId="1" xfId="0" applyNumberFormat="1" applyFill="1" applyBorder="1" applyAlignment="1">
      <alignment vertical="center" wrapText="1"/>
    </xf>
    <xf numFmtId="0" fontId="0" fillId="11" borderId="1" xfId="0" applyFill="1" applyBorder="1" applyAlignment="1">
      <alignment vertical="center" wrapText="1"/>
    </xf>
    <xf numFmtId="0" fontId="0" fillId="12" borderId="0" xfId="0" applyFill="1"/>
    <xf numFmtId="22" fontId="0" fillId="0" borderId="1" xfId="0" applyNumberFormat="1" applyBorder="1"/>
    <xf numFmtId="0" fontId="2" fillId="10" borderId="1" xfId="0" applyFont="1" applyFill="1" applyBorder="1"/>
    <xf numFmtId="0" fontId="2" fillId="13" borderId="1" xfId="0" applyNumberFormat="1" applyFont="1" applyFill="1" applyBorder="1"/>
    <xf numFmtId="0" fontId="0" fillId="0" borderId="1" xfId="0" applyNumberFormat="1" applyBorder="1"/>
    <xf numFmtId="0" fontId="0" fillId="0" borderId="1" xfId="0" applyNumberFormat="1" applyFill="1" applyBorder="1"/>
    <xf numFmtId="0" fontId="10" fillId="12" borderId="0" xfId="2" applyFont="1" applyFill="1"/>
    <xf numFmtId="0" fontId="5" fillId="12" borderId="0" xfId="0" applyNumberFormat="1" applyFont="1" applyFill="1"/>
    <xf numFmtId="0" fontId="11" fillId="0" borderId="1" xfId="0" applyNumberFormat="1" applyFont="1" applyBorder="1"/>
    <xf numFmtId="0" fontId="11" fillId="0" borderId="1" xfId="0" applyNumberFormat="1" applyFont="1" applyFill="1" applyBorder="1"/>
    <xf numFmtId="14" fontId="0" fillId="4" borderId="0" xfId="0" applyNumberFormat="1" applyFill="1"/>
    <xf numFmtId="22" fontId="13" fillId="16" borderId="0" xfId="0" applyNumberFormat="1" applyFont="1" applyFill="1" applyAlignment="1">
      <alignment horizontal="center" vertical="center"/>
    </xf>
    <xf numFmtId="0" fontId="14" fillId="0" borderId="0" xfId="2" applyNumberFormat="1" applyFont="1"/>
    <xf numFmtId="0" fontId="5" fillId="0" borderId="0" xfId="0" applyNumberFormat="1" applyFont="1"/>
    <xf numFmtId="0" fontId="5" fillId="0" borderId="0" xfId="0" applyFont="1"/>
    <xf numFmtId="0" fontId="14" fillId="0" borderId="0" xfId="0" applyNumberFormat="1" applyFont="1"/>
    <xf numFmtId="0" fontId="3" fillId="3" borderId="0" xfId="0" applyFont="1" applyFill="1" applyAlignment="1">
      <alignment horizontal="right" vertical="center"/>
    </xf>
    <xf numFmtId="0" fontId="4" fillId="5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2" fillId="14" borderId="2" xfId="0" applyFont="1" applyFill="1" applyBorder="1" applyAlignment="1">
      <alignment horizontal="center"/>
    </xf>
    <xf numFmtId="0" fontId="12" fillId="14" borderId="3" xfId="0" applyFont="1" applyFill="1" applyBorder="1" applyAlignment="1">
      <alignment horizontal="center"/>
    </xf>
    <xf numFmtId="0" fontId="12" fillId="14" borderId="4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0" fillId="17" borderId="1" xfId="0" applyNumberFormat="1" applyFont="1" applyFill="1" applyBorder="1"/>
  </cellXfs>
  <cellStyles count="3">
    <cellStyle name="Köprü" xfId="2" builtinId="8"/>
    <cellStyle name="Normal" xfId="0" builtinId="0"/>
    <cellStyle name="ParaBirimi" xfId="1" builtinId="4"/>
  </cellStyles>
  <dxfs count="44"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scheme val="minor"/>
      </font>
      <numFmt numFmtId="0" formatCode="General"/>
    </dxf>
    <dxf>
      <font>
        <b/>
      </font>
      <numFmt numFmtId="0" formatCode="General"/>
      <fill>
        <patternFill patternType="solid">
          <fgColor theme="7" tint="0.39997558519241921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theme="7" tint="0.39997558519241921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theme="7" tint="0.39997558519241921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theme="7" tint="0.39997558519241921"/>
          <bgColor theme="7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3" tint="-0.249977111117893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3" tint="-0.249977111117893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3" tint="-0.249977111117893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3" tint="-0.249977111117893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3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3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3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3" tint="-0.249977111117893"/>
        </patternFill>
      </fill>
    </dxf>
    <dxf>
      <fill>
        <patternFill>
          <bgColor theme="9" tint="0.39994506668294322"/>
        </patternFill>
      </fill>
    </dxf>
    <dxf>
      <fill>
        <patternFill patternType="solid">
          <fgColor auto="1"/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2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</dxf>
    <dxf>
      <fill>
        <patternFill patternType="solid">
          <fgColor indexed="64"/>
          <bgColor theme="3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</dxf>
    <dxf>
      <fill>
        <patternFill patternType="solid">
          <fgColor indexed="64"/>
          <bgColor theme="3" tint="-0.249977111117893"/>
        </patternFill>
      </fill>
    </dxf>
    <dxf>
      <numFmt numFmtId="0" formatCode="General"/>
      <fill>
        <patternFill patternType="solid">
          <fgColor indexed="64"/>
          <bgColor theme="7" tint="0.39997558519241921"/>
        </patternFill>
      </fill>
    </dxf>
    <dxf>
      <numFmt numFmtId="0" formatCode="General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9" tint="-0.24994659260841701"/>
      </font>
    </dxf>
    <dxf>
      <font>
        <color rgb="FFFF0000"/>
      </font>
    </dxf>
    <dxf>
      <font>
        <b/>
        <i val="0"/>
        <color theme="9" tint="-0.24994659260841701"/>
      </font>
      <fill>
        <patternFill>
          <bgColor theme="7" tint="0.39994506668294322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33CCFF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FFFFFF"/>
                </a:solidFill>
              </a:defRPr>
            </a:pPr>
            <a:r>
              <a:rPr lang="tr-TR">
                <a:solidFill>
                  <a:srgbClr val="FFFFFF"/>
                </a:solidFill>
              </a:rPr>
              <a:t>Kar/Zarar (%) - Hisse Bazlı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19050">
              <a:solidFill>
                <a:srgbClr val="0099FF"/>
              </a:solidFill>
            </a:ln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cat>
            <c:numRef>
              <c:f>Portföy!$A$7:$A$20</c:f>
              <c:numCache>
                <c:formatCode>General</c:formatCode>
                <c:ptCount val="14"/>
              </c:numCache>
            </c:numRef>
          </c:cat>
          <c:val>
            <c:numRef>
              <c:f>Portföy!$G$7:$G$20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DC50-473A-803E-61D229DF3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0385808"/>
        <c:axId val="1280384976"/>
      </c:barChart>
      <c:catAx>
        <c:axId val="128038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FFFF"/>
                </a:solidFill>
              </a:defRPr>
            </a:pPr>
            <a:endParaRPr lang="tr-TR"/>
          </a:p>
        </c:txPr>
        <c:crossAx val="1280384976"/>
        <c:crosses val="autoZero"/>
        <c:auto val="1"/>
        <c:lblAlgn val="ctr"/>
        <c:lblOffset val="100"/>
        <c:noMultiLvlLbl val="0"/>
      </c:catAx>
      <c:valAx>
        <c:axId val="128038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FFFF"/>
                </a:solidFill>
              </a:defRPr>
            </a:pPr>
            <a:endParaRPr lang="tr-TR"/>
          </a:p>
        </c:txPr>
        <c:crossAx val="1280385808"/>
        <c:crosses val="autoZero"/>
        <c:crossBetween val="between"/>
      </c:valAx>
      <c:spPr>
        <a:solidFill>
          <a:srgbClr val="1E1E1E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1E1E1E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Maliyet</a:t>
            </a:r>
            <a:r>
              <a:rPr lang="tr-TR" baseline="0"/>
              <a:t> / portföy oranı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C8A1-4087-BEC9-C62AEDF2D74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 prstMaterial="flat">
                <a:contourClr>
                  <a:schemeClr val="accent1">
                    <a:lumMod val="50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C8A1-4087-BEC9-C62AEDF2D741}"/>
              </c:ext>
            </c:extLst>
          </c:dPt>
          <c:dLbls>
            <c:spPr>
              <a:solidFill>
                <a:schemeClr val="accent1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Portföy!$A$1:$A$2</c:f>
              <c:strCache>
                <c:ptCount val="2"/>
                <c:pt idx="0">
                  <c:v>Toplam Maliyet</c:v>
                </c:pt>
                <c:pt idx="1">
                  <c:v>Güncel Portföy</c:v>
                </c:pt>
              </c:strCache>
            </c:strRef>
          </c:cat>
          <c:val>
            <c:numRef>
              <c:f>Portföy!$B$1:$B$2</c:f>
              <c:numCache>
                <c:formatCode>"₺"#,##0.00_);\("₺"#,##0.00\)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1-4087-BEC9-C62AEDF2D7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05637455"/>
        <c:axId val="105629967"/>
        <c:axId val="0"/>
      </c:bar3DChart>
      <c:catAx>
        <c:axId val="10563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5629967"/>
        <c:crosses val="autoZero"/>
        <c:auto val="1"/>
        <c:lblAlgn val="ctr"/>
        <c:lblOffset val="100"/>
        <c:noMultiLvlLbl val="0"/>
      </c:catAx>
      <c:valAx>
        <c:axId val="105629967"/>
        <c:scaling>
          <c:orientation val="minMax"/>
        </c:scaling>
        <c:delete val="1"/>
        <c:axPos val="l"/>
        <c:numFmt formatCode="&quot;₺&quot;#,##0.00_);\(&quot;₺&quot;#,##0.00\)" sourceLinked="1"/>
        <c:majorTickMark val="out"/>
        <c:minorTickMark val="none"/>
        <c:tickLblPos val="nextTo"/>
        <c:crossAx val="10563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/>
              <a:t>BİST 100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BİST100!$B$1</c:f>
              <c:strCache>
                <c:ptCount val="1"/>
                <c:pt idx="0">
                  <c:v>Son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BİST100!$A$2:$A$101</c:f>
              <c:strCache>
                <c:ptCount val="100"/>
                <c:pt idx="0">
                  <c:v>AEFES</c:v>
                </c:pt>
                <c:pt idx="1">
                  <c:v>AGHOL</c:v>
                </c:pt>
                <c:pt idx="2">
                  <c:v>AGROT</c:v>
                </c:pt>
                <c:pt idx="3">
                  <c:v>AHGAZ</c:v>
                </c:pt>
                <c:pt idx="4">
                  <c:v>AKBNK</c:v>
                </c:pt>
                <c:pt idx="5">
                  <c:v>AKSA</c:v>
                </c:pt>
                <c:pt idx="6">
                  <c:v>AKSEN</c:v>
                </c:pt>
                <c:pt idx="7">
                  <c:v>ALARK</c:v>
                </c:pt>
                <c:pt idx="8">
                  <c:v>ALFAS</c:v>
                </c:pt>
                <c:pt idx="9">
                  <c:v>ALTNY</c:v>
                </c:pt>
                <c:pt idx="10">
                  <c:v>ANHYT</c:v>
                </c:pt>
                <c:pt idx="11">
                  <c:v>ANSGR</c:v>
                </c:pt>
                <c:pt idx="12">
                  <c:v>ARCLK</c:v>
                </c:pt>
                <c:pt idx="13">
                  <c:v>ARDYZ</c:v>
                </c:pt>
                <c:pt idx="14">
                  <c:v>ASELS</c:v>
                </c:pt>
                <c:pt idx="15">
                  <c:v>ASTOR</c:v>
                </c:pt>
                <c:pt idx="16">
                  <c:v>AVPGY</c:v>
                </c:pt>
                <c:pt idx="17">
                  <c:v>BERA</c:v>
                </c:pt>
                <c:pt idx="18">
                  <c:v>BIMAS</c:v>
                </c:pt>
                <c:pt idx="19">
                  <c:v>BRSAN</c:v>
                </c:pt>
                <c:pt idx="20">
                  <c:v>BRYAT</c:v>
                </c:pt>
                <c:pt idx="21">
                  <c:v>BSOKE</c:v>
                </c:pt>
                <c:pt idx="22">
                  <c:v>BTCIM</c:v>
                </c:pt>
                <c:pt idx="23">
                  <c:v>CANTE</c:v>
                </c:pt>
                <c:pt idx="24">
                  <c:v>CCOLA</c:v>
                </c:pt>
                <c:pt idx="25">
                  <c:v>CIMSA</c:v>
                </c:pt>
                <c:pt idx="26">
                  <c:v>CLEBI</c:v>
                </c:pt>
                <c:pt idx="27">
                  <c:v>CWENE</c:v>
                </c:pt>
                <c:pt idx="28">
                  <c:v>DOAS</c:v>
                </c:pt>
                <c:pt idx="29">
                  <c:v>DOHOL</c:v>
                </c:pt>
                <c:pt idx="30">
                  <c:v>ECILC</c:v>
                </c:pt>
                <c:pt idx="31">
                  <c:v>EFORC</c:v>
                </c:pt>
                <c:pt idx="32">
                  <c:v>EGEEN</c:v>
                </c:pt>
                <c:pt idx="33">
                  <c:v>EKGYO</c:v>
                </c:pt>
                <c:pt idx="34">
                  <c:v>ENERY</c:v>
                </c:pt>
                <c:pt idx="35">
                  <c:v>ENJSA</c:v>
                </c:pt>
                <c:pt idx="36">
                  <c:v>ENKAI</c:v>
                </c:pt>
                <c:pt idx="37">
                  <c:v>EREGL</c:v>
                </c:pt>
                <c:pt idx="38">
                  <c:v>EUPWR</c:v>
                </c:pt>
                <c:pt idx="39">
                  <c:v>FROTO</c:v>
                </c:pt>
                <c:pt idx="40">
                  <c:v>GARAN</c:v>
                </c:pt>
                <c:pt idx="41">
                  <c:v>GESAN</c:v>
                </c:pt>
                <c:pt idx="42">
                  <c:v>GOLTS</c:v>
                </c:pt>
                <c:pt idx="43">
                  <c:v>GRTHO</c:v>
                </c:pt>
                <c:pt idx="44">
                  <c:v>GSRAY</c:v>
                </c:pt>
                <c:pt idx="45">
                  <c:v>GUBRF</c:v>
                </c:pt>
                <c:pt idx="46">
                  <c:v>HALKB</c:v>
                </c:pt>
                <c:pt idx="47">
                  <c:v>HEKTS</c:v>
                </c:pt>
                <c:pt idx="48">
                  <c:v>IEYHO</c:v>
                </c:pt>
                <c:pt idx="49">
                  <c:v>ISCTR</c:v>
                </c:pt>
                <c:pt idx="50">
                  <c:v>ISMEN</c:v>
                </c:pt>
                <c:pt idx="51">
                  <c:v>KARSN</c:v>
                </c:pt>
                <c:pt idx="52">
                  <c:v>KCAER</c:v>
                </c:pt>
                <c:pt idx="53">
                  <c:v>KCHOL</c:v>
                </c:pt>
                <c:pt idx="54">
                  <c:v>KONTR</c:v>
                </c:pt>
                <c:pt idx="55">
                  <c:v>KONYA</c:v>
                </c:pt>
                <c:pt idx="56">
                  <c:v>KOZAA</c:v>
                </c:pt>
                <c:pt idx="57">
                  <c:v>KOZAL</c:v>
                </c:pt>
                <c:pt idx="58">
                  <c:v>KRDMD</c:v>
                </c:pt>
                <c:pt idx="59">
                  <c:v>KTLEV</c:v>
                </c:pt>
                <c:pt idx="60">
                  <c:v>LMKDC</c:v>
                </c:pt>
                <c:pt idx="61">
                  <c:v>MAGEN</c:v>
                </c:pt>
                <c:pt idx="62">
                  <c:v>MAVI</c:v>
                </c:pt>
                <c:pt idx="63">
                  <c:v>MGROS</c:v>
                </c:pt>
                <c:pt idx="64">
                  <c:v>MIATK</c:v>
                </c:pt>
                <c:pt idx="65">
                  <c:v>MPARK</c:v>
                </c:pt>
                <c:pt idx="66">
                  <c:v>OBAMS</c:v>
                </c:pt>
                <c:pt idx="67">
                  <c:v>ODAS</c:v>
                </c:pt>
                <c:pt idx="68">
                  <c:v>OTKAR</c:v>
                </c:pt>
                <c:pt idx="69">
                  <c:v>OYAKC</c:v>
                </c:pt>
                <c:pt idx="70">
                  <c:v>PASEU</c:v>
                </c:pt>
                <c:pt idx="71">
                  <c:v>PETKM</c:v>
                </c:pt>
                <c:pt idx="72">
                  <c:v>PGSUS</c:v>
                </c:pt>
                <c:pt idx="73">
                  <c:v>RALYH</c:v>
                </c:pt>
                <c:pt idx="74">
                  <c:v>REEDR</c:v>
                </c:pt>
                <c:pt idx="75">
                  <c:v>RYGYO</c:v>
                </c:pt>
                <c:pt idx="76">
                  <c:v>SAHOL</c:v>
                </c:pt>
                <c:pt idx="77">
                  <c:v>SASA</c:v>
                </c:pt>
                <c:pt idx="78">
                  <c:v>SELEC</c:v>
                </c:pt>
                <c:pt idx="79">
                  <c:v>SISE</c:v>
                </c:pt>
                <c:pt idx="80">
                  <c:v>SKBNK</c:v>
                </c:pt>
                <c:pt idx="81">
                  <c:v>SMRTG</c:v>
                </c:pt>
                <c:pt idx="82">
                  <c:v>SOKM</c:v>
                </c:pt>
                <c:pt idx="83">
                  <c:v>TABGD</c:v>
                </c:pt>
                <c:pt idx="84">
                  <c:v>TAVHL</c:v>
                </c:pt>
                <c:pt idx="85">
                  <c:v>TCELL</c:v>
                </c:pt>
                <c:pt idx="86">
                  <c:v>THYAO</c:v>
                </c:pt>
                <c:pt idx="87">
                  <c:v>TKFEN</c:v>
                </c:pt>
                <c:pt idx="88">
                  <c:v>TOASO</c:v>
                </c:pt>
                <c:pt idx="89">
                  <c:v>TSKB</c:v>
                </c:pt>
                <c:pt idx="90">
                  <c:v>TTKOM</c:v>
                </c:pt>
                <c:pt idx="91">
                  <c:v>TTRAK</c:v>
                </c:pt>
                <c:pt idx="92">
                  <c:v>TUPRS</c:v>
                </c:pt>
                <c:pt idx="93">
                  <c:v>TURSG</c:v>
                </c:pt>
                <c:pt idx="94">
                  <c:v>ULKER</c:v>
                </c:pt>
                <c:pt idx="95">
                  <c:v>VAKBN</c:v>
                </c:pt>
                <c:pt idx="96">
                  <c:v>VESTL</c:v>
                </c:pt>
                <c:pt idx="97">
                  <c:v>YEOTK</c:v>
                </c:pt>
                <c:pt idx="98">
                  <c:v>YKBNK</c:v>
                </c:pt>
                <c:pt idx="99">
                  <c:v>ZOREN</c:v>
                </c:pt>
              </c:strCache>
            </c:strRef>
          </c:cat>
          <c:val>
            <c:numRef>
              <c:f>BİST100!$B$2:$B$101</c:f>
              <c:numCache>
                <c:formatCode>General</c:formatCode>
                <c:ptCount val="100"/>
                <c:pt idx="0">
                  <c:v>139.30000000000001</c:v>
                </c:pt>
                <c:pt idx="1">
                  <c:v>256</c:v>
                </c:pt>
                <c:pt idx="2">
                  <c:v>7.44</c:v>
                </c:pt>
                <c:pt idx="3">
                  <c:v>24.26</c:v>
                </c:pt>
                <c:pt idx="4">
                  <c:v>50.95</c:v>
                </c:pt>
                <c:pt idx="5">
                  <c:v>9.08</c:v>
                </c:pt>
                <c:pt idx="6">
                  <c:v>32.46</c:v>
                </c:pt>
                <c:pt idx="7">
                  <c:v>81.05</c:v>
                </c:pt>
                <c:pt idx="8">
                  <c:v>44.06</c:v>
                </c:pt>
                <c:pt idx="9">
                  <c:v>69.849999999999994</c:v>
                </c:pt>
                <c:pt idx="10">
                  <c:v>77.45</c:v>
                </c:pt>
                <c:pt idx="11">
                  <c:v>88</c:v>
                </c:pt>
                <c:pt idx="12">
                  <c:v>105.4</c:v>
                </c:pt>
                <c:pt idx="13">
                  <c:v>26.56</c:v>
                </c:pt>
                <c:pt idx="14">
                  <c:v>129.6</c:v>
                </c:pt>
                <c:pt idx="15">
                  <c:v>93.55</c:v>
                </c:pt>
                <c:pt idx="16">
                  <c:v>52.25</c:v>
                </c:pt>
                <c:pt idx="17">
                  <c:v>14.05</c:v>
                </c:pt>
                <c:pt idx="18">
                  <c:v>476</c:v>
                </c:pt>
                <c:pt idx="19">
                  <c:v>330.75</c:v>
                </c:pt>
                <c:pt idx="20">
                  <c:v>1836</c:v>
                </c:pt>
                <c:pt idx="21">
                  <c:v>16.350000000000001</c:v>
                </c:pt>
                <c:pt idx="22">
                  <c:v>4.97</c:v>
                </c:pt>
                <c:pt idx="23">
                  <c:v>1.54</c:v>
                </c:pt>
                <c:pt idx="24">
                  <c:v>48.76</c:v>
                </c:pt>
                <c:pt idx="25">
                  <c:v>48.2</c:v>
                </c:pt>
                <c:pt idx="26">
                  <c:v>1793</c:v>
                </c:pt>
                <c:pt idx="27">
                  <c:v>14.37</c:v>
                </c:pt>
                <c:pt idx="28">
                  <c:v>173.6</c:v>
                </c:pt>
                <c:pt idx="29">
                  <c:v>14.66</c:v>
                </c:pt>
                <c:pt idx="30">
                  <c:v>46.1</c:v>
                </c:pt>
                <c:pt idx="31">
                  <c:v>102.8</c:v>
                </c:pt>
                <c:pt idx="32">
                  <c:v>8305</c:v>
                </c:pt>
                <c:pt idx="33">
                  <c:v>13.98</c:v>
                </c:pt>
                <c:pt idx="34">
                  <c:v>4.88</c:v>
                </c:pt>
                <c:pt idx="35">
                  <c:v>53.35</c:v>
                </c:pt>
                <c:pt idx="36">
                  <c:v>60.3</c:v>
                </c:pt>
                <c:pt idx="37">
                  <c:v>23.44</c:v>
                </c:pt>
                <c:pt idx="38">
                  <c:v>26.8</c:v>
                </c:pt>
                <c:pt idx="39">
                  <c:v>80.150000000000006</c:v>
                </c:pt>
                <c:pt idx="40">
                  <c:v>105.9</c:v>
                </c:pt>
                <c:pt idx="41">
                  <c:v>42.92</c:v>
                </c:pt>
                <c:pt idx="42">
                  <c:v>341</c:v>
                </c:pt>
                <c:pt idx="43">
                  <c:v>289.25</c:v>
                </c:pt>
                <c:pt idx="44">
                  <c:v>1.79</c:v>
                </c:pt>
                <c:pt idx="45">
                  <c:v>238.1</c:v>
                </c:pt>
                <c:pt idx="46">
                  <c:v>19.43</c:v>
                </c:pt>
                <c:pt idx="47">
                  <c:v>3.09</c:v>
                </c:pt>
                <c:pt idx="48">
                  <c:v>13.32</c:v>
                </c:pt>
                <c:pt idx="49">
                  <c:v>10.75</c:v>
                </c:pt>
                <c:pt idx="50">
                  <c:v>32.799999999999997</c:v>
                </c:pt>
                <c:pt idx="51">
                  <c:v>9.94</c:v>
                </c:pt>
                <c:pt idx="52">
                  <c:v>13.35</c:v>
                </c:pt>
                <c:pt idx="53">
                  <c:v>141.69999999999999</c:v>
                </c:pt>
                <c:pt idx="54">
                  <c:v>25.26</c:v>
                </c:pt>
                <c:pt idx="55">
                  <c:v>5300</c:v>
                </c:pt>
                <c:pt idx="56">
                  <c:v>86.5</c:v>
                </c:pt>
                <c:pt idx="57">
                  <c:v>23.16</c:v>
                </c:pt>
                <c:pt idx="58">
                  <c:v>22.04</c:v>
                </c:pt>
                <c:pt idx="59">
                  <c:v>97.95</c:v>
                </c:pt>
                <c:pt idx="60">
                  <c:v>26.2</c:v>
                </c:pt>
                <c:pt idx="61">
                  <c:v>33.94</c:v>
                </c:pt>
                <c:pt idx="62">
                  <c:v>30.58</c:v>
                </c:pt>
                <c:pt idx="63">
                  <c:v>477</c:v>
                </c:pt>
                <c:pt idx="64">
                  <c:v>30.84</c:v>
                </c:pt>
                <c:pt idx="65">
                  <c:v>315.25</c:v>
                </c:pt>
                <c:pt idx="66">
                  <c:v>49.44</c:v>
                </c:pt>
                <c:pt idx="67">
                  <c:v>4.6900000000000004</c:v>
                </c:pt>
                <c:pt idx="68">
                  <c:v>388</c:v>
                </c:pt>
                <c:pt idx="69">
                  <c:v>21</c:v>
                </c:pt>
                <c:pt idx="70">
                  <c:v>78.05</c:v>
                </c:pt>
                <c:pt idx="71">
                  <c:v>16.3</c:v>
                </c:pt>
                <c:pt idx="72">
                  <c:v>241.2</c:v>
                </c:pt>
                <c:pt idx="73">
                  <c:v>131.19999999999999</c:v>
                </c:pt>
                <c:pt idx="74">
                  <c:v>11.48</c:v>
                </c:pt>
                <c:pt idx="75">
                  <c:v>12.86</c:v>
                </c:pt>
                <c:pt idx="76">
                  <c:v>77.3</c:v>
                </c:pt>
                <c:pt idx="77">
                  <c:v>3.28</c:v>
                </c:pt>
                <c:pt idx="78">
                  <c:v>68.400000000000006</c:v>
                </c:pt>
                <c:pt idx="79">
                  <c:v>33</c:v>
                </c:pt>
                <c:pt idx="80">
                  <c:v>4.51</c:v>
                </c:pt>
                <c:pt idx="81">
                  <c:v>27.96</c:v>
                </c:pt>
                <c:pt idx="82">
                  <c:v>33.18</c:v>
                </c:pt>
                <c:pt idx="83">
                  <c:v>173</c:v>
                </c:pt>
                <c:pt idx="84">
                  <c:v>217.9</c:v>
                </c:pt>
                <c:pt idx="85">
                  <c:v>94.85</c:v>
                </c:pt>
                <c:pt idx="86">
                  <c:v>273.25</c:v>
                </c:pt>
                <c:pt idx="87">
                  <c:v>111</c:v>
                </c:pt>
                <c:pt idx="88">
                  <c:v>177</c:v>
                </c:pt>
                <c:pt idx="89">
                  <c:v>10.9</c:v>
                </c:pt>
                <c:pt idx="90">
                  <c:v>55.15</c:v>
                </c:pt>
                <c:pt idx="91">
                  <c:v>559</c:v>
                </c:pt>
                <c:pt idx="92">
                  <c:v>124</c:v>
                </c:pt>
                <c:pt idx="93">
                  <c:v>16.5</c:v>
                </c:pt>
                <c:pt idx="94">
                  <c:v>105.6</c:v>
                </c:pt>
                <c:pt idx="95">
                  <c:v>22.54</c:v>
                </c:pt>
                <c:pt idx="96">
                  <c:v>33.119999999999997</c:v>
                </c:pt>
                <c:pt idx="97">
                  <c:v>40.020000000000003</c:v>
                </c:pt>
                <c:pt idx="98">
                  <c:v>25.46</c:v>
                </c:pt>
                <c:pt idx="99">
                  <c:v>2.99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F-49BC-986C-F96C8C2BC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912351"/>
        <c:axId val="575907775"/>
      </c:lineChart>
      <c:catAx>
        <c:axId val="57591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75907775"/>
        <c:crosses val="autoZero"/>
        <c:auto val="1"/>
        <c:lblAlgn val="ctr"/>
        <c:lblOffset val="100"/>
        <c:noMultiLvlLbl val="0"/>
      </c:catAx>
      <c:valAx>
        <c:axId val="57590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7591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chart" Target="../charts/chart1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48492</xdr:rowOff>
    </xdr:from>
    <xdr:to>
      <xdr:col>4</xdr:col>
      <xdr:colOff>0</xdr:colOff>
      <xdr:row>13</xdr:row>
      <xdr:rowOff>131619</xdr:rowOff>
    </xdr:to>
    <xdr:sp macro="" textlink="">
      <xdr:nvSpPr>
        <xdr:cNvPr id="4" name="Yuvarlatılmış Dikdörtgen 3"/>
        <xdr:cNvSpPr/>
      </xdr:nvSpPr>
      <xdr:spPr>
        <a:xfrm>
          <a:off x="0" y="1849583"/>
          <a:ext cx="3546764" cy="623454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1006586</xdr:colOff>
      <xdr:row>0</xdr:row>
      <xdr:rowOff>117232</xdr:rowOff>
    </xdr:from>
    <xdr:to>
      <xdr:col>2</xdr:col>
      <xdr:colOff>7461</xdr:colOff>
      <xdr:row>2</xdr:row>
      <xdr:rowOff>70339</xdr:rowOff>
    </xdr:to>
    <xdr:sp macro="[0]!Git_RaporSayfasi" textlink="">
      <xdr:nvSpPr>
        <xdr:cNvPr id="3" name="Yuvarlatılmış Dikdörtgen 2"/>
        <xdr:cNvSpPr/>
      </xdr:nvSpPr>
      <xdr:spPr>
        <a:xfrm>
          <a:off x="1006586" y="117232"/>
          <a:ext cx="1189893" cy="31332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050">
              <a:solidFill>
                <a:schemeClr val="bg1"/>
              </a:solidFill>
            </a:rPr>
            <a:t>R</a:t>
          </a:r>
          <a:r>
            <a:rPr lang="tr-TR" sz="1050" baseline="0">
              <a:solidFill>
                <a:schemeClr val="bg1"/>
              </a:solidFill>
            </a:rPr>
            <a:t>apor </a:t>
          </a:r>
          <a:r>
            <a:rPr lang="tr-TR" sz="1000" baseline="0">
              <a:solidFill>
                <a:schemeClr val="bg1"/>
              </a:solidFill>
            </a:rPr>
            <a:t>Sayfası</a:t>
          </a:r>
          <a:endParaRPr lang="tr-TR" sz="105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923462</xdr:colOff>
      <xdr:row>0</xdr:row>
      <xdr:rowOff>99646</xdr:rowOff>
    </xdr:from>
    <xdr:to>
      <xdr:col>0</xdr:col>
      <xdr:colOff>923462</xdr:colOff>
      <xdr:row>2</xdr:row>
      <xdr:rowOff>99647</xdr:rowOff>
    </xdr:to>
    <xdr:cxnSp macro="">
      <xdr:nvCxnSpPr>
        <xdr:cNvPr id="5" name="Düz Bağlayıcı 4"/>
        <xdr:cNvCxnSpPr/>
      </xdr:nvCxnSpPr>
      <xdr:spPr>
        <a:xfrm>
          <a:off x="923462" y="99646"/>
          <a:ext cx="0" cy="360219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34637</xdr:colOff>
      <xdr:row>0</xdr:row>
      <xdr:rowOff>104442</xdr:rowOff>
    </xdr:from>
    <xdr:to>
      <xdr:col>2</xdr:col>
      <xdr:colOff>34637</xdr:colOff>
      <xdr:row>2</xdr:row>
      <xdr:rowOff>104443</xdr:rowOff>
    </xdr:to>
    <xdr:cxnSp macro="">
      <xdr:nvCxnSpPr>
        <xdr:cNvPr id="7" name="Düz Bağlayıcı 6"/>
        <xdr:cNvCxnSpPr/>
      </xdr:nvCxnSpPr>
      <xdr:spPr>
        <a:xfrm>
          <a:off x="2223655" y="104442"/>
          <a:ext cx="0" cy="360219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69282</xdr:colOff>
      <xdr:row>0</xdr:row>
      <xdr:rowOff>146538</xdr:rowOff>
    </xdr:from>
    <xdr:to>
      <xdr:col>3</xdr:col>
      <xdr:colOff>582434</xdr:colOff>
      <xdr:row>2</xdr:row>
      <xdr:rowOff>99645</xdr:rowOff>
    </xdr:to>
    <xdr:sp macro="[0]!Git_Portfoy" textlink="">
      <xdr:nvSpPr>
        <xdr:cNvPr id="8" name="Yuvarlatılmış Dikdörtgen 7"/>
        <xdr:cNvSpPr/>
      </xdr:nvSpPr>
      <xdr:spPr>
        <a:xfrm>
          <a:off x="2258300" y="146538"/>
          <a:ext cx="1129679" cy="31332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050">
              <a:solidFill>
                <a:schemeClr val="bg1"/>
              </a:solidFill>
            </a:rPr>
            <a:t>Portföylerim</a:t>
          </a:r>
        </a:p>
      </xdr:txBody>
    </xdr:sp>
    <xdr:clientData/>
  </xdr:twoCellAnchor>
  <xdr:twoCellAnchor>
    <xdr:from>
      <xdr:col>3</xdr:col>
      <xdr:colOff>546189</xdr:colOff>
      <xdr:row>0</xdr:row>
      <xdr:rowOff>111367</xdr:rowOff>
    </xdr:from>
    <xdr:to>
      <xdr:col>3</xdr:col>
      <xdr:colOff>546189</xdr:colOff>
      <xdr:row>2</xdr:row>
      <xdr:rowOff>111368</xdr:rowOff>
    </xdr:to>
    <xdr:cxnSp macro="">
      <xdr:nvCxnSpPr>
        <xdr:cNvPr id="9" name="Düz Bağlayıcı 8"/>
        <xdr:cNvCxnSpPr/>
      </xdr:nvCxnSpPr>
      <xdr:spPr>
        <a:xfrm>
          <a:off x="3421007" y="111367"/>
          <a:ext cx="0" cy="360219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417234</xdr:colOff>
      <xdr:row>0</xdr:row>
      <xdr:rowOff>109229</xdr:rowOff>
    </xdr:from>
    <xdr:to>
      <xdr:col>6</xdr:col>
      <xdr:colOff>417234</xdr:colOff>
      <xdr:row>2</xdr:row>
      <xdr:rowOff>109230</xdr:rowOff>
    </xdr:to>
    <xdr:cxnSp macro="">
      <xdr:nvCxnSpPr>
        <xdr:cNvPr id="13" name="Düz Bağlayıcı 12"/>
        <xdr:cNvCxnSpPr/>
      </xdr:nvCxnSpPr>
      <xdr:spPr>
        <a:xfrm>
          <a:off x="4670579" y="109229"/>
          <a:ext cx="0" cy="360219"/>
        </a:xfrm>
        <a:prstGeom prst="line">
          <a:avLst/>
        </a:prstGeom>
        <a:ln>
          <a:solidFill>
            <a:schemeClr val="bg1"/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483749</xdr:colOff>
      <xdr:row>0</xdr:row>
      <xdr:rowOff>140671</xdr:rowOff>
    </xdr:from>
    <xdr:to>
      <xdr:col>9</xdr:col>
      <xdr:colOff>83128</xdr:colOff>
      <xdr:row>2</xdr:row>
      <xdr:rowOff>93778</xdr:rowOff>
    </xdr:to>
    <xdr:sp macro="[0]!git_borsa" textlink="">
      <xdr:nvSpPr>
        <xdr:cNvPr id="14" name="Yuvarlatılmış Dikdörtgen 13"/>
        <xdr:cNvSpPr/>
      </xdr:nvSpPr>
      <xdr:spPr>
        <a:xfrm>
          <a:off x="4875640" y="140671"/>
          <a:ext cx="1185724" cy="31332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050">
              <a:solidFill>
                <a:schemeClr val="bg1"/>
              </a:solidFill>
            </a:rPr>
            <a:t>BİST 100 </a:t>
          </a:r>
        </a:p>
      </xdr:txBody>
    </xdr:sp>
    <xdr:clientData/>
  </xdr:twoCellAnchor>
  <xdr:twoCellAnchor>
    <xdr:from>
      <xdr:col>0</xdr:col>
      <xdr:colOff>249382</xdr:colOff>
      <xdr:row>9</xdr:row>
      <xdr:rowOff>96982</xdr:rowOff>
    </xdr:from>
    <xdr:to>
      <xdr:col>1</xdr:col>
      <xdr:colOff>464127</xdr:colOff>
      <xdr:row>19</xdr:row>
      <xdr:rowOff>145473</xdr:rowOff>
    </xdr:to>
    <xdr:sp macro="" textlink="">
      <xdr:nvSpPr>
        <xdr:cNvPr id="2" name="Yuvarlatılmış Dikdörtgen 1"/>
        <xdr:cNvSpPr/>
      </xdr:nvSpPr>
      <xdr:spPr>
        <a:xfrm>
          <a:off x="249382" y="1717964"/>
          <a:ext cx="1717963" cy="1849582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0</xdr:col>
      <xdr:colOff>0</xdr:colOff>
      <xdr:row>8</xdr:row>
      <xdr:rowOff>27709</xdr:rowOff>
    </xdr:from>
    <xdr:to>
      <xdr:col>0</xdr:col>
      <xdr:colOff>1122218</xdr:colOff>
      <xdr:row>14</xdr:row>
      <xdr:rowOff>27709</xdr:rowOff>
    </xdr:to>
    <xdr:pic>
      <xdr:nvPicPr>
        <xdr:cNvPr id="15" name="Resim 14" descr="Free picture: great, inflation, 500000000000, banknotes, cash, money ...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8582"/>
          <a:ext cx="1122218" cy="1122218"/>
        </a:xfrm>
        <a:prstGeom prst="rect">
          <a:avLst/>
        </a:prstGeom>
      </xdr:spPr>
    </xdr:pic>
    <xdr:clientData/>
  </xdr:twoCellAnchor>
  <xdr:oneCellAnchor>
    <xdr:from>
      <xdr:col>0</xdr:col>
      <xdr:colOff>1330037</xdr:colOff>
      <xdr:row>10</xdr:row>
      <xdr:rowOff>55418</xdr:rowOff>
    </xdr:from>
    <xdr:ext cx="1101436" cy="468013"/>
    <xdr:sp macro="" textlink="">
      <xdr:nvSpPr>
        <xdr:cNvPr id="16" name="Metin kutusu 15"/>
        <xdr:cNvSpPr txBox="1"/>
      </xdr:nvSpPr>
      <xdr:spPr>
        <a:xfrm>
          <a:off x="1330037" y="1856509"/>
          <a:ext cx="110143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tr-TR" sz="2400" b="1" u="sng">
              <a:solidFill>
                <a:schemeClr val="bg1"/>
              </a:solidFill>
            </a:rPr>
            <a:t>Dolar</a:t>
          </a:r>
        </a:p>
      </xdr:txBody>
    </xdr:sp>
    <xdr:clientData/>
  </xdr:oneCellAnchor>
  <xdr:twoCellAnchor>
    <xdr:from>
      <xdr:col>3</xdr:col>
      <xdr:colOff>585096</xdr:colOff>
      <xdr:row>0</xdr:row>
      <xdr:rowOff>125753</xdr:rowOff>
    </xdr:from>
    <xdr:to>
      <xdr:col>6</xdr:col>
      <xdr:colOff>387927</xdr:colOff>
      <xdr:row>2</xdr:row>
      <xdr:rowOff>78860</xdr:rowOff>
    </xdr:to>
    <xdr:sp macro="[0]!Git_Alislar" textlink="">
      <xdr:nvSpPr>
        <xdr:cNvPr id="17" name="Yuvarlatılmış Dikdörtgen 16"/>
        <xdr:cNvSpPr/>
      </xdr:nvSpPr>
      <xdr:spPr>
        <a:xfrm>
          <a:off x="3459914" y="125753"/>
          <a:ext cx="1319904" cy="313325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050">
              <a:solidFill>
                <a:schemeClr val="bg1"/>
              </a:solidFill>
            </a:rPr>
            <a:t>Geçmiş İşlemler</a:t>
          </a:r>
        </a:p>
      </xdr:txBody>
    </xdr:sp>
    <xdr:clientData/>
  </xdr:twoCellAnchor>
  <xdr:twoCellAnchor>
    <xdr:from>
      <xdr:col>0</xdr:col>
      <xdr:colOff>0</xdr:colOff>
      <xdr:row>16</xdr:row>
      <xdr:rowOff>145475</xdr:rowOff>
    </xdr:from>
    <xdr:to>
      <xdr:col>4</xdr:col>
      <xdr:colOff>0</xdr:colOff>
      <xdr:row>20</xdr:row>
      <xdr:rowOff>48492</xdr:rowOff>
    </xdr:to>
    <xdr:sp macro="" textlink="">
      <xdr:nvSpPr>
        <xdr:cNvPr id="19" name="Yuvarlatılmış Dikdörtgen 18"/>
        <xdr:cNvSpPr/>
      </xdr:nvSpPr>
      <xdr:spPr>
        <a:xfrm>
          <a:off x="0" y="3027220"/>
          <a:ext cx="3546764" cy="623454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        </a:t>
          </a:r>
          <a:r>
            <a:rPr lang="tr-TR" sz="2400" b="1" u="sng">
              <a:solidFill>
                <a:schemeClr val="bg1"/>
              </a:solidFill>
              <a:latin typeface="+mn-lt"/>
              <a:ea typeface="+mn-ea"/>
              <a:cs typeface="+mn-cs"/>
            </a:rPr>
            <a:t>EURO</a:t>
          </a:r>
        </a:p>
      </xdr:txBody>
    </xdr:sp>
    <xdr:clientData/>
  </xdr:twoCellAnchor>
  <xdr:twoCellAnchor editAs="oneCell">
    <xdr:from>
      <xdr:col>0</xdr:col>
      <xdr:colOff>0</xdr:colOff>
      <xdr:row>15</xdr:row>
      <xdr:rowOff>90055</xdr:rowOff>
    </xdr:from>
    <xdr:to>
      <xdr:col>0</xdr:col>
      <xdr:colOff>1011380</xdr:colOff>
      <xdr:row>21</xdr:row>
      <xdr:rowOff>20781</xdr:rowOff>
    </xdr:to>
    <xdr:pic>
      <xdr:nvPicPr>
        <xdr:cNvPr id="20" name="Resim 19" descr="Euro Banknotes Free Stock Photo - Public Domain Pictures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91691"/>
          <a:ext cx="1011380" cy="1011380"/>
        </a:xfrm>
        <a:prstGeom prst="rect">
          <a:avLst/>
        </a:prstGeom>
      </xdr:spPr>
    </xdr:pic>
    <xdr:clientData/>
  </xdr:twoCellAnchor>
  <xdr:twoCellAnchor>
    <xdr:from>
      <xdr:col>7</xdr:col>
      <xdr:colOff>637310</xdr:colOff>
      <xdr:row>3</xdr:row>
      <xdr:rowOff>41564</xdr:rowOff>
    </xdr:from>
    <xdr:to>
      <xdr:col>12</xdr:col>
      <xdr:colOff>160713</xdr:colOff>
      <xdr:row>9</xdr:row>
      <xdr:rowOff>83128</xdr:rowOff>
    </xdr:to>
    <xdr:sp macro="" textlink="">
      <xdr:nvSpPr>
        <xdr:cNvPr id="21" name="Yuvarlatılmış Çapraz Köşeli Dikdörtgen 20"/>
        <xdr:cNvSpPr/>
      </xdr:nvSpPr>
      <xdr:spPr>
        <a:xfrm>
          <a:off x="4925292" y="581891"/>
          <a:ext cx="2820785" cy="1593273"/>
        </a:xfrm>
        <a:prstGeom prst="round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tr-TR" sz="2000" b="1"/>
            <a:t>YATIRIM EKRANI</a:t>
          </a:r>
        </a:p>
      </xdr:txBody>
    </xdr:sp>
    <xdr:clientData/>
  </xdr:twoCellAnchor>
  <xdr:twoCellAnchor editAs="oneCell">
    <xdr:from>
      <xdr:col>8</xdr:col>
      <xdr:colOff>103908</xdr:colOff>
      <xdr:row>5</xdr:row>
      <xdr:rowOff>96982</xdr:rowOff>
    </xdr:from>
    <xdr:to>
      <xdr:col>12</xdr:col>
      <xdr:colOff>110836</xdr:colOff>
      <xdr:row>9</xdr:row>
      <xdr:rowOff>48492</xdr:rowOff>
    </xdr:to>
    <xdr:pic macro="[0]!FormuAc">
      <xdr:nvPicPr>
        <xdr:cNvPr id="22" name="Resim 21" descr="Urso Touro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9526" y="1115291"/>
          <a:ext cx="2029691" cy="1025237"/>
        </a:xfrm>
        <a:prstGeom prst="rect">
          <a:avLst/>
        </a:prstGeom>
      </xdr:spPr>
    </xdr:pic>
    <xdr:clientData/>
  </xdr:twoCellAnchor>
  <xdr:twoCellAnchor>
    <xdr:from>
      <xdr:col>0</xdr:col>
      <xdr:colOff>1110479</xdr:colOff>
      <xdr:row>25</xdr:row>
      <xdr:rowOff>18666</xdr:rowOff>
    </xdr:from>
    <xdr:to>
      <xdr:col>6</xdr:col>
      <xdr:colOff>145473</xdr:colOff>
      <xdr:row>25</xdr:row>
      <xdr:rowOff>18666</xdr:rowOff>
    </xdr:to>
    <xdr:cxnSp macro="">
      <xdr:nvCxnSpPr>
        <xdr:cNvPr id="27" name="Düz Bağlayıcı 26"/>
        <xdr:cNvCxnSpPr>
          <a:stCxn id="24" idx="7"/>
        </xdr:cNvCxnSpPr>
      </xdr:nvCxnSpPr>
      <xdr:spPr>
        <a:xfrm>
          <a:off x="1110479" y="5034011"/>
          <a:ext cx="3406103" cy="0"/>
        </a:xfrm>
        <a:prstGeom prst="line">
          <a:avLst/>
        </a:prstGeom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25</xdr:row>
      <xdr:rowOff>13855</xdr:rowOff>
    </xdr:from>
    <xdr:to>
      <xdr:col>6</xdr:col>
      <xdr:colOff>152400</xdr:colOff>
      <xdr:row>27</xdr:row>
      <xdr:rowOff>103909</xdr:rowOff>
    </xdr:to>
    <xdr:cxnSp macro="">
      <xdr:nvCxnSpPr>
        <xdr:cNvPr id="29" name="Düz Bağlayıcı 28"/>
        <xdr:cNvCxnSpPr/>
      </xdr:nvCxnSpPr>
      <xdr:spPr>
        <a:xfrm>
          <a:off x="4523509" y="5029200"/>
          <a:ext cx="0" cy="623454"/>
        </a:xfrm>
        <a:prstGeom prst="line">
          <a:avLst/>
        </a:prstGeom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831274</xdr:colOff>
      <xdr:row>27</xdr:row>
      <xdr:rowOff>110836</xdr:rowOff>
    </xdr:from>
    <xdr:to>
      <xdr:col>6</xdr:col>
      <xdr:colOff>145474</xdr:colOff>
      <xdr:row>27</xdr:row>
      <xdr:rowOff>159327</xdr:rowOff>
    </xdr:to>
    <xdr:cxnSp macro="">
      <xdr:nvCxnSpPr>
        <xdr:cNvPr id="31" name="Düz Bağlayıcı 30"/>
        <xdr:cNvCxnSpPr>
          <a:endCxn id="24" idx="4"/>
        </xdr:cNvCxnSpPr>
      </xdr:nvCxnSpPr>
      <xdr:spPr>
        <a:xfrm flipH="1">
          <a:off x="831274" y="5659581"/>
          <a:ext cx="3685309" cy="48491"/>
        </a:xfrm>
        <a:prstGeom prst="line">
          <a:avLst/>
        </a:prstGeom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436418</xdr:colOff>
      <xdr:row>24</xdr:row>
      <xdr:rowOff>83125</xdr:rowOff>
    </xdr:from>
    <xdr:to>
      <xdr:col>0</xdr:col>
      <xdr:colOff>1226129</xdr:colOff>
      <xdr:row>27</xdr:row>
      <xdr:rowOff>159327</xdr:rowOff>
    </xdr:to>
    <xdr:pic>
      <xdr:nvPicPr>
        <xdr:cNvPr id="24" name="Resim 23" descr="Stock Market Hd Transparent HQ PNG Download | FreePNGimg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418" y="4918361"/>
          <a:ext cx="789711" cy="78971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7</xdr:col>
      <xdr:colOff>30018</xdr:colOff>
      <xdr:row>10</xdr:row>
      <xdr:rowOff>72505</xdr:rowOff>
    </xdr:from>
    <xdr:to>
      <xdr:col>16</xdr:col>
      <xdr:colOff>645160</xdr:colOff>
      <xdr:row>33</xdr:row>
      <xdr:rowOff>158172</xdr:rowOff>
    </xdr:to>
    <xdr:graphicFrame macro="">
      <xdr:nvGraphicFramePr>
        <xdr:cNvPr id="10" name="KarZararGrafi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15</xdr:col>
      <xdr:colOff>117765</xdr:colOff>
      <xdr:row>3</xdr:row>
      <xdr:rowOff>166255</xdr:rowOff>
    </xdr:from>
    <xdr:to>
      <xdr:col>16</xdr:col>
      <xdr:colOff>48492</xdr:colOff>
      <xdr:row>5</xdr:row>
      <xdr:rowOff>166254</xdr:rowOff>
    </xdr:to>
    <xdr:pic macro="[0]!TumVerileriSifirla">
      <xdr:nvPicPr>
        <xdr:cNvPr id="6" name="Resim 5" descr="Ayarlar Dişli · Pixabay'da ücretsiz vektör grafik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94129" y="706582"/>
          <a:ext cx="477981" cy="4779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18</xdr:col>
      <xdr:colOff>304800</xdr:colOff>
      <xdr:row>10</xdr:row>
      <xdr:rowOff>144780</xdr:rowOff>
    </xdr:to>
    <xdr:graphicFrame macro="">
      <xdr:nvGraphicFramePr>
        <xdr:cNvPr id="4" name="Grafi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76201</xdr:colOff>
      <xdr:row>1</xdr:row>
      <xdr:rowOff>152400</xdr:rowOff>
    </xdr:from>
    <xdr:to>
      <xdr:col>21</xdr:col>
      <xdr:colOff>144651</xdr:colOff>
      <xdr:row>5</xdr:row>
      <xdr:rowOff>304800</xdr:rowOff>
    </xdr:to>
    <xdr:pic macro="[0]!git_anasayfa">
      <xdr:nvPicPr>
        <xdr:cNvPr id="2" name="Resim 1" descr="Home Sítio Web Início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6101" y="330200"/>
          <a:ext cx="1287650" cy="128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3</xdr:row>
      <xdr:rowOff>0</xdr:rowOff>
    </xdr:from>
    <xdr:to>
      <xdr:col>11</xdr:col>
      <xdr:colOff>68450</xdr:colOff>
      <xdr:row>10</xdr:row>
      <xdr:rowOff>7620</xdr:rowOff>
    </xdr:to>
    <xdr:pic macro="[0]!git_anasayfa">
      <xdr:nvPicPr>
        <xdr:cNvPr id="2" name="Resim 1" descr="Home Sítio Web Início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360" y="548640"/>
          <a:ext cx="1287650" cy="12877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11</xdr:col>
      <xdr:colOff>68450</xdr:colOff>
      <xdr:row>9</xdr:row>
      <xdr:rowOff>7620</xdr:rowOff>
    </xdr:to>
    <xdr:pic macro="[0]!git_anasayfa">
      <xdr:nvPicPr>
        <xdr:cNvPr id="2" name="Resim 1" descr="Home Sítio Web Início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100" y="365760"/>
          <a:ext cx="1287650" cy="1287780"/>
        </a:xfrm>
        <a:prstGeom prst="rect">
          <a:avLst/>
        </a:prstGeom>
      </xdr:spPr>
    </xdr:pic>
    <xdr:clientData/>
  </xdr:twoCellAnchor>
  <xdr:twoCellAnchor editAs="oneCell">
    <xdr:from>
      <xdr:col>11</xdr:col>
      <xdr:colOff>373380</xdr:colOff>
      <xdr:row>2</xdr:row>
      <xdr:rowOff>60960</xdr:rowOff>
    </xdr:from>
    <xdr:to>
      <xdr:col>13</xdr:col>
      <xdr:colOff>411480</xdr:colOff>
      <xdr:row>9</xdr:row>
      <xdr:rowOff>38100</xdr:rowOff>
    </xdr:to>
    <xdr:pic macro="[0]!GecmisSayfasiniPDFKaydet">
      <xdr:nvPicPr>
        <xdr:cNvPr id="5" name="Resim 4" descr="Pdf Miniature File - Free image on Pixabay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5680" y="426720"/>
          <a:ext cx="1257300" cy="1257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</xdr:colOff>
      <xdr:row>9</xdr:row>
      <xdr:rowOff>137160</xdr:rowOff>
    </xdr:from>
    <xdr:to>
      <xdr:col>28</xdr:col>
      <xdr:colOff>320040</xdr:colOff>
      <xdr:row>25</xdr:row>
      <xdr:rowOff>15240</xdr:rowOff>
    </xdr:to>
    <xdr:graphicFrame macro="">
      <xdr:nvGraphicFramePr>
        <xdr:cNvPr id="2" name="Grafi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312420</xdr:colOff>
      <xdr:row>0</xdr:row>
      <xdr:rowOff>106680</xdr:rowOff>
    </xdr:from>
    <xdr:to>
      <xdr:col>20</xdr:col>
      <xdr:colOff>380870</xdr:colOff>
      <xdr:row>7</xdr:row>
      <xdr:rowOff>114300</xdr:rowOff>
    </xdr:to>
    <xdr:pic macro="[0]!git_anasayfa">
      <xdr:nvPicPr>
        <xdr:cNvPr id="3" name="Resim 2" descr="Home Sítio Web Início · Gráfico vetorial grátis no Pixabay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900" y="106680"/>
          <a:ext cx="1287650" cy="12877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ışVeri_1" refreshOnLoad="1" connectionId="6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Serbest Piyasada Altın" tableColumnId="1"/>
      <queryTableField id="2" name="Alış" tableColumnId="2"/>
      <queryTableField id="3" name="Satış" tableColumnId="3"/>
      <queryTableField id="4" name="Değişim" tableColumnId="4"/>
    </queryTableFields>
  </queryTableRefresh>
</queryTable>
</file>

<file path=xl/queryTables/queryTable2.xml><?xml version="1.0" encoding="utf-8"?>
<queryTable xmlns="http://schemas.openxmlformats.org/spreadsheetml/2006/main" name="DışVeri_2" refreshOnLoad="1" connectionId="2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anlı Döviz Kurları" tableColumnId="1"/>
      <queryTableField id="2" name="Alış" tableColumnId="2"/>
      <queryTableField id="3" name="Satış" tableColumnId="3"/>
      <queryTableField id="4" name="Değişim" tableColumnId="4"/>
    </queryTableFields>
  </queryTableRefresh>
</queryTable>
</file>

<file path=xl/queryTables/queryTable3.xml><?xml version="1.0" encoding="utf-8"?>
<queryTable xmlns="http://schemas.openxmlformats.org/spreadsheetml/2006/main" name="DışVeri_3" refreshOnLoad="1" connectionId="3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Canlı Döviz Kurları" tableColumnId="1"/>
      <queryTableField id="2" name="Alış" tableColumnId="2"/>
      <queryTableField id="3" name="Satış" tableColumnId="3"/>
      <queryTableField id="4" name="Değişim" tableColumnId="4"/>
    </queryTableFields>
  </queryTableRefresh>
</queryTable>
</file>

<file path=xl/queryTables/queryTable4.xml><?xml version="1.0" encoding="utf-8"?>
<queryTable xmlns="http://schemas.openxmlformats.org/spreadsheetml/2006/main" name="DışVeri_1" refreshOnLoad="1" connectionId="4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Hisse" tableColumnId="1"/>
      <queryTableField id="2" name="Son" tableColumnId="2"/>
      <queryTableField id="3" name="Alış" tableColumnId="3"/>
    </queryTableFields>
  </queryTableRefresh>
</queryTable>
</file>

<file path=xl/queryTables/queryTable5.xml><?xml version="1.0" encoding="utf-8"?>
<queryTable xmlns="http://schemas.openxmlformats.org/spreadsheetml/2006/main" name="DışVeri_2" refreshOnLoad="1" connectionId="5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Hisse" tableColumnId="1"/>
      <queryTableField id="2" name="Son" tableColumnId="2"/>
      <queryTableField id="3" name="Alış" tableColumnId="3"/>
      <queryTableField id="4" name="Fark" tableColumnId="4"/>
    </queryTableFields>
  </queryTableRefresh>
</queryTable>
</file>

<file path=xl/queryTables/queryTable6.xml><?xml version="1.0" encoding="utf-8"?>
<queryTable xmlns="http://schemas.openxmlformats.org/spreadsheetml/2006/main" name="DışVeri_1" refreshOnLoad="1" connectionId="1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Hisse" tableColumnId="1"/>
      <queryTableField id="2" name="Son" tableColumnId="2"/>
      <queryTableField id="3" name="Alış" tableColumnId="3"/>
      <queryTableField id="4" name="Satış" tableColumnId="4"/>
      <queryTableField id="5" name="Fark" tableColumnId="5"/>
      <queryTableField id="6" name="En Düşük" tableColumnId="6"/>
      <queryTableField id="7" name="En Yüksek" tableColumnId="7"/>
      <queryTableField id="8" name="AOF" tableColumnId="8"/>
      <queryTableField id="9" name="Hacim TL" tableColumnId="9"/>
      <queryTableField id="10" name="Hacim Lo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6" name="Table_0__7" displayName="Table_0__7" ref="A5:D9" tableType="queryTable" totalsRowShown="0" headerRowDxfId="39" dataDxfId="38">
  <autoFilter ref="A5:D9"/>
  <tableColumns count="4">
    <tableColumn id="1" uniqueName="1" name="Serbest Piyasada Altın" queryTableFieldId="1" dataDxfId="20"/>
    <tableColumn id="2" uniqueName="2" name="Alış" queryTableFieldId="2" dataDxfId="19"/>
    <tableColumn id="3" uniqueName="3" name="Satış" queryTableFieldId="3" dataDxfId="18"/>
    <tableColumn id="4" uniqueName="4" name="Değişim" queryTableFieldId="4" dataDxfId="17"/>
  </tableColumns>
  <tableStyleInfo name="TableStyleMedium12" showFirstColumn="0" showLastColumn="1" showRowStripes="1" showColumnStripes="0"/>
</table>
</file>

<file path=xl/tables/table2.xml><?xml version="1.0" encoding="utf-8"?>
<table xmlns="http://schemas.openxmlformats.org/spreadsheetml/2006/main" id="4" name="Table_0__10" displayName="Table_0__10" ref="A15:D16" tableType="queryTable" totalsRowShown="0" headerRowDxfId="37" dataDxfId="36">
  <autoFilter ref="A15:D16"/>
  <tableColumns count="4">
    <tableColumn id="1" uniqueName="1" name="Canlı Döviz Kurları" queryTableFieldId="1" dataDxfId="24"/>
    <tableColumn id="2" uniqueName="2" name="Alış" queryTableFieldId="2" dataDxfId="23"/>
    <tableColumn id="3" uniqueName="3" name="Satış" queryTableFieldId="3" dataDxfId="22"/>
    <tableColumn id="4" uniqueName="4" name="Değişim" queryTableFieldId="4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le_0__11" displayName="Table_0__11" ref="A22:D23" tableType="queryTable" totalsRowShown="0" headerRowDxfId="35" dataDxfId="34">
  <autoFilter ref="A22:D23"/>
  <tableColumns count="4">
    <tableColumn id="1" uniqueName="1" name="Canlı Döviz Kurları" queryTableFieldId="1" dataDxfId="28"/>
    <tableColumn id="2" uniqueName="2" name="Alış" queryTableFieldId="2" dataDxfId="27"/>
    <tableColumn id="3" uniqueName="3" name="Satış" queryTableFieldId="3" dataDxfId="26"/>
    <tableColumn id="4" uniqueName="4" name="Değişim" queryTableFieldId="4" dataDxfId="2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Table_0__14" displayName="Table_0__14" ref="B4:D9" tableType="queryTable" totalsRowShown="0" headerRowDxfId="33" dataDxfId="32">
  <autoFilter ref="B4:D9"/>
  <tableColumns count="3">
    <tableColumn id="1" uniqueName="1" name="Hisse" queryTableFieldId="1" dataDxfId="6"/>
    <tableColumn id="2" uniqueName="2" name="Son" queryTableFieldId="2" dataDxfId="5"/>
    <tableColumn id="3" uniqueName="3" name="Alış" queryTableFieldId="3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e_0__15" displayName="Table_0__15" ref="F4:I9" tableType="queryTable" totalsRowShown="0" headerRowDxfId="31">
  <autoFilter ref="F4:I9"/>
  <tableColumns count="4">
    <tableColumn id="1" uniqueName="1" name="Hisse" queryTableFieldId="1" dataDxfId="3"/>
    <tableColumn id="2" uniqueName="2" name="Son" queryTableFieldId="2" dataDxfId="2"/>
    <tableColumn id="3" uniqueName="3" name="Alış" queryTableFieldId="3" dataDxfId="1"/>
    <tableColumn id="4" uniqueName="4" name="Fark" queryTableFieldId="4" dataDxfId="0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1" name="Table_0" displayName="Table_0" ref="A1:J101" tableType="queryTable" totalsRowShown="0">
  <autoFilter ref="A1:J101"/>
  <tableColumns count="10">
    <tableColumn id="1" uniqueName="1" name="Hisse" queryTableFieldId="1" dataDxfId="16"/>
    <tableColumn id="2" uniqueName="2" name="Son" queryTableFieldId="2" dataDxfId="15"/>
    <tableColumn id="3" uniqueName="3" name="Alış" queryTableFieldId="3" dataDxfId="14"/>
    <tableColumn id="4" uniqueName="4" name="Satış" queryTableFieldId="4" dataDxfId="13"/>
    <tableColumn id="5" uniqueName="5" name="Fark" queryTableFieldId="5" dataDxfId="12"/>
    <tableColumn id="6" uniqueName="6" name="En Düşük" queryTableFieldId="6" dataDxfId="11"/>
    <tableColumn id="7" uniqueName="7" name="En Yüksek" queryTableFieldId="7" dataDxfId="10"/>
    <tableColumn id="8" uniqueName="8" name="AOF" queryTableFieldId="8" dataDxfId="9"/>
    <tableColumn id="9" uniqueName="9" name="Hacim TL" queryTableFieldId="9" dataDxfId="8"/>
    <tableColumn id="10" uniqueName="10" name="Hacim Lot" queryTableFieldId="10" dataDxfId="7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3">
    <wetp:webextensionref xmlns:r="http://schemas.openxmlformats.org/officeDocument/2006/relationships" r:id="rId1"/>
  </wetp:taskpane>
  <wetp:taskpane dockstate="right" visibility="0" width="437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E59DEF7-6284-43C7-85BB-DDD25309767A}">
  <we:reference id="wa200005669" version="2.0.0.0" store="tr-T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07EC2F0-9253-49A5-9620-F4C39C65DD9F}">
  <we:reference id="wa104379220" version="8.0.0.0" store="tr-TR" storeType="OMEX"/>
  <we:alternateReferences>
    <we:reference id="WA104379220" version="8.0.0.0" store="WA104379220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www.bundle.app/finans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naekran"/>
  <dimension ref="A1:AF34"/>
  <sheetViews>
    <sheetView showGridLines="0" showRowColHeaders="0" tabSelected="1" zoomScale="110" zoomScaleNormal="110" workbookViewId="0">
      <selection activeCell="F12" sqref="F12"/>
    </sheetView>
  </sheetViews>
  <sheetFormatPr defaultRowHeight="14.4" x14ac:dyDescent="0.3"/>
  <cols>
    <col min="1" max="1" width="21.88671875" customWidth="1"/>
    <col min="2" max="3" width="10" customWidth="1"/>
    <col min="4" max="4" width="9.77734375" customWidth="1"/>
    <col min="5" max="5" width="6.109375" customWidth="1"/>
    <col min="6" max="6" width="10.109375" bestFit="1" customWidth="1"/>
    <col min="7" max="7" width="8.5546875" customWidth="1"/>
    <col min="8" max="8" width="7.109375" customWidth="1"/>
    <col min="9" max="9" width="7.44140625" customWidth="1"/>
    <col min="10" max="10" width="7" customWidth="1"/>
    <col min="11" max="11" width="8" customWidth="1"/>
    <col min="12" max="12" width="7.109375" customWidth="1"/>
    <col min="13" max="13" width="7" customWidth="1"/>
    <col min="14" max="14" width="22" customWidth="1"/>
    <col min="15" max="15" width="29.5546875" customWidth="1"/>
    <col min="16" max="16" width="8" customWidth="1"/>
    <col min="17" max="17" width="11" bestFit="1" customWidth="1"/>
    <col min="18" max="18" width="11.5546875" customWidth="1"/>
  </cols>
  <sheetData>
    <row r="1" spans="1:32" x14ac:dyDescent="0.3">
      <c r="A1" s="43" t="s">
        <v>129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</row>
    <row r="2" spans="1:32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</row>
    <row r="3" spans="1:32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</row>
    <row r="4" spans="1:32" x14ac:dyDescent="0.3">
      <c r="A4" s="44" t="s">
        <v>136</v>
      </c>
      <c r="B4" s="44"/>
      <c r="C4" s="44"/>
      <c r="D4" s="44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</row>
    <row r="5" spans="1:32" ht="23.4" x14ac:dyDescent="0.45">
      <c r="A5" s="12" t="s">
        <v>130</v>
      </c>
      <c r="B5" s="12" t="s">
        <v>41</v>
      </c>
      <c r="C5" s="12" t="s">
        <v>42</v>
      </c>
      <c r="D5" s="12" t="s">
        <v>131</v>
      </c>
      <c r="E5" s="8"/>
      <c r="F5" s="8"/>
      <c r="G5" s="8"/>
      <c r="H5" s="8"/>
      <c r="I5" s="8"/>
      <c r="J5" s="8"/>
      <c r="K5" s="8"/>
      <c r="L5" s="8"/>
      <c r="M5" s="8"/>
      <c r="N5" s="45" t="s">
        <v>140</v>
      </c>
      <c r="O5" s="45"/>
      <c r="P5" s="8"/>
      <c r="Q5" s="8"/>
      <c r="R5" s="8"/>
    </row>
    <row r="6" spans="1:32" ht="23.4" x14ac:dyDescent="0.45">
      <c r="A6" s="50" t="s">
        <v>132</v>
      </c>
      <c r="B6" s="50">
        <v>4147.87</v>
      </c>
      <c r="C6" s="50">
        <v>4148.96</v>
      </c>
      <c r="D6" s="30">
        <v>-5.4999999999999997E-3</v>
      </c>
      <c r="E6" s="8"/>
      <c r="F6" s="37"/>
      <c r="G6" s="8"/>
      <c r="H6" s="8"/>
      <c r="I6" s="8"/>
      <c r="J6" s="8"/>
      <c r="K6" s="8"/>
      <c r="L6" s="8"/>
      <c r="M6" s="8"/>
      <c r="N6" s="17" t="s">
        <v>141</v>
      </c>
      <c r="O6" s="18">
        <f>Portföy!H1</f>
        <v>10000</v>
      </c>
      <c r="P6" s="8"/>
      <c r="Q6" s="8"/>
      <c r="R6" s="8"/>
    </row>
    <row r="7" spans="1:32" ht="23.4" x14ac:dyDescent="0.45">
      <c r="A7" s="50" t="s">
        <v>133</v>
      </c>
      <c r="B7" s="50">
        <v>128761.95</v>
      </c>
      <c r="C7" s="50">
        <v>129277.91</v>
      </c>
      <c r="D7" s="30">
        <v>-5.4999999999999997E-3</v>
      </c>
      <c r="E7" s="8"/>
      <c r="F7" s="8"/>
      <c r="G7" s="8"/>
      <c r="H7" s="8"/>
      <c r="I7" s="8"/>
      <c r="J7" s="8"/>
      <c r="K7" s="8"/>
      <c r="L7" s="8"/>
      <c r="M7" s="8"/>
      <c r="N7" s="17" t="s">
        <v>142</v>
      </c>
      <c r="O7" s="19">
        <f>Portföy!B2</f>
        <v>0</v>
      </c>
      <c r="P7" s="8"/>
      <c r="Q7" s="8"/>
      <c r="R7" s="8"/>
    </row>
    <row r="8" spans="1:32" ht="23.4" x14ac:dyDescent="0.45">
      <c r="A8" s="50" t="s">
        <v>134</v>
      </c>
      <c r="B8" s="50">
        <v>6623.72</v>
      </c>
      <c r="C8" s="50">
        <v>6773.56</v>
      </c>
      <c r="D8" s="30">
        <v>-3.3E-3</v>
      </c>
      <c r="E8" s="8"/>
      <c r="F8" s="8"/>
      <c r="G8" s="8"/>
      <c r="H8" s="8"/>
      <c r="I8" s="8"/>
      <c r="J8" s="8"/>
      <c r="K8" s="8"/>
      <c r="L8" s="8"/>
      <c r="M8" s="8"/>
      <c r="N8" s="17" t="s">
        <v>143</v>
      </c>
      <c r="O8" s="19">
        <f>Portföy!B3</f>
        <v>0</v>
      </c>
      <c r="P8" s="8"/>
      <c r="Q8" s="8"/>
      <c r="R8" s="8"/>
    </row>
    <row r="9" spans="1:32" x14ac:dyDescent="0.3">
      <c r="A9" s="50" t="s">
        <v>135</v>
      </c>
      <c r="B9" s="50">
        <v>13206.05</v>
      </c>
      <c r="C9" s="50">
        <v>13547.12</v>
      </c>
      <c r="D9" s="30">
        <v>-3.3E-3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</row>
    <row r="10" spans="1:32" ht="17.399999999999999" x14ac:dyDescent="0.3">
      <c r="A10" s="9"/>
      <c r="B10" s="9"/>
      <c r="C10" s="9"/>
      <c r="D10" s="9"/>
      <c r="E10" s="8"/>
      <c r="F10" s="8"/>
      <c r="G10" s="8"/>
      <c r="H10" s="8"/>
      <c r="I10" s="8"/>
      <c r="J10" s="8"/>
      <c r="K10" s="8"/>
      <c r="L10" s="8"/>
      <c r="M10" s="8"/>
      <c r="N10" s="8"/>
      <c r="O10" s="38">
        <f ca="1">NOW()</f>
        <v>45809.707833449072</v>
      </c>
      <c r="P10" s="8"/>
      <c r="Q10" s="8"/>
      <c r="R10" s="8"/>
    </row>
    <row r="11" spans="1:32" x14ac:dyDescent="0.3">
      <c r="A11" s="10"/>
      <c r="B11" s="10"/>
      <c r="C11" s="10"/>
      <c r="D11" s="9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</row>
    <row r="12" spans="1:32" x14ac:dyDescent="0.3">
      <c r="A12" s="10"/>
      <c r="B12" s="10"/>
      <c r="C12" s="10"/>
      <c r="D12" s="9"/>
      <c r="E12" s="9"/>
      <c r="F12" s="11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</row>
    <row r="13" spans="1:32" x14ac:dyDescent="0.3">
      <c r="A13" s="9"/>
      <c r="B13" s="9"/>
      <c r="C13" s="9"/>
      <c r="D13" s="9"/>
      <c r="E13" s="13"/>
      <c r="F13" s="9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</row>
    <row r="14" spans="1:32" x14ac:dyDescent="0.3">
      <c r="A14" s="9"/>
      <c r="B14" s="9"/>
      <c r="C14" s="9"/>
      <c r="D14" s="9"/>
      <c r="E14" s="13"/>
      <c r="F14" s="9"/>
      <c r="G14" s="8"/>
      <c r="H14" s="8"/>
      <c r="I14" s="9"/>
      <c r="J14" s="9"/>
      <c r="K14" s="9"/>
      <c r="L14" s="9"/>
      <c r="M14" s="9"/>
      <c r="N14" s="9"/>
      <c r="O14" s="9"/>
      <c r="P14" s="9"/>
      <c r="Q14" s="8"/>
      <c r="R14" s="8"/>
    </row>
    <row r="15" spans="1:32" x14ac:dyDescent="0.3">
      <c r="A15" s="14" t="s">
        <v>137</v>
      </c>
      <c r="B15" s="14" t="s">
        <v>41</v>
      </c>
      <c r="C15" s="14" t="s">
        <v>42</v>
      </c>
      <c r="D15" s="14" t="s">
        <v>131</v>
      </c>
      <c r="E15" s="9"/>
      <c r="F15" s="9"/>
      <c r="G15" s="8"/>
      <c r="H15" s="8"/>
      <c r="I15" s="9"/>
      <c r="J15" s="9"/>
      <c r="K15" s="9"/>
      <c r="L15" s="9"/>
      <c r="M15" s="9"/>
      <c r="N15" s="9"/>
      <c r="O15" s="9"/>
      <c r="P15" s="9"/>
      <c r="Q15" s="8"/>
      <c r="R15" s="8"/>
    </row>
    <row r="16" spans="1:32" x14ac:dyDescent="0.3">
      <c r="A16" s="15" t="s">
        <v>138</v>
      </c>
      <c r="B16" s="15">
        <v>39.159999999999997</v>
      </c>
      <c r="C16" s="15">
        <v>39.299999999999997</v>
      </c>
      <c r="D16" s="15">
        <v>3.2000000000000002E-3</v>
      </c>
      <c r="E16" s="9"/>
      <c r="F16" s="8"/>
      <c r="G16" s="8"/>
      <c r="H16" s="8"/>
      <c r="I16" s="9"/>
      <c r="J16" s="9"/>
      <c r="K16" s="9"/>
      <c r="L16" s="9"/>
      <c r="M16" s="9"/>
      <c r="N16" s="9"/>
      <c r="O16" s="9"/>
      <c r="P16" s="9"/>
      <c r="Q16" s="8"/>
      <c r="R16" s="8"/>
    </row>
    <row r="17" spans="1:18" x14ac:dyDescent="0.3">
      <c r="A17" s="9"/>
      <c r="B17" s="9"/>
      <c r="C17" s="9"/>
      <c r="D17" s="9"/>
      <c r="E17" s="9"/>
      <c r="F17" s="8"/>
      <c r="G17" s="8"/>
      <c r="H17" s="8"/>
      <c r="I17" s="9"/>
      <c r="J17" s="9"/>
      <c r="K17" s="9"/>
      <c r="L17" s="9"/>
      <c r="M17" s="9"/>
      <c r="N17" s="9"/>
      <c r="O17" s="9"/>
      <c r="P17" s="9"/>
      <c r="Q17" s="8"/>
      <c r="R17" s="8"/>
    </row>
    <row r="18" spans="1:18" x14ac:dyDescent="0.3">
      <c r="A18" s="9"/>
      <c r="B18" s="9"/>
      <c r="C18" s="9"/>
      <c r="D18" s="9"/>
      <c r="E18" s="9"/>
      <c r="F18" s="8"/>
      <c r="G18" s="8"/>
      <c r="H18" s="8"/>
      <c r="I18" s="9"/>
      <c r="J18" s="9"/>
      <c r="K18" s="9"/>
      <c r="L18" s="9"/>
      <c r="M18" s="9"/>
      <c r="N18" s="9"/>
      <c r="O18" s="9"/>
      <c r="P18" s="9"/>
      <c r="Q18" s="8"/>
      <c r="R18" s="8"/>
    </row>
    <row r="19" spans="1:18" x14ac:dyDescent="0.3">
      <c r="A19" s="9"/>
      <c r="B19" s="9"/>
      <c r="C19" s="9"/>
      <c r="D19" s="9"/>
      <c r="E19" s="9"/>
      <c r="F19" s="8"/>
      <c r="G19" s="8"/>
      <c r="H19" s="8"/>
      <c r="I19" s="9"/>
      <c r="J19" s="9"/>
      <c r="K19" s="9"/>
      <c r="L19" s="9"/>
      <c r="M19" s="9"/>
      <c r="N19" s="9"/>
      <c r="O19" s="9"/>
      <c r="P19" s="9"/>
      <c r="Q19" s="8"/>
      <c r="R19" s="8"/>
    </row>
    <row r="20" spans="1:18" x14ac:dyDescent="0.3">
      <c r="A20" s="9"/>
      <c r="B20" s="9"/>
      <c r="C20" s="9"/>
      <c r="D20" s="9"/>
      <c r="E20" s="9"/>
      <c r="F20" s="8"/>
      <c r="G20" s="8"/>
      <c r="H20" s="8"/>
      <c r="I20" s="9"/>
      <c r="J20" s="9"/>
      <c r="K20" s="9"/>
      <c r="L20" s="9"/>
      <c r="M20" s="9"/>
      <c r="N20" s="9"/>
      <c r="O20" s="9"/>
      <c r="P20" s="9"/>
      <c r="Q20" s="8"/>
      <c r="R20" s="8"/>
    </row>
    <row r="21" spans="1:18" x14ac:dyDescent="0.3">
      <c r="A21" s="9"/>
      <c r="B21" s="9"/>
      <c r="C21" s="9"/>
      <c r="D21" s="9"/>
      <c r="E21" s="9"/>
      <c r="F21" s="8"/>
      <c r="G21" s="8"/>
      <c r="H21" s="8"/>
      <c r="I21" s="9"/>
      <c r="J21" s="9"/>
      <c r="K21" s="9"/>
      <c r="L21" s="9"/>
      <c r="M21" s="9"/>
      <c r="N21" s="9"/>
      <c r="O21" s="9"/>
      <c r="P21" s="9"/>
      <c r="Q21" s="8"/>
      <c r="R21" s="8"/>
    </row>
    <row r="22" spans="1:18" x14ac:dyDescent="0.3">
      <c r="A22" s="14" t="s">
        <v>137</v>
      </c>
      <c r="B22" s="14" t="s">
        <v>41</v>
      </c>
      <c r="C22" s="14" t="s">
        <v>42</v>
      </c>
      <c r="D22" s="14" t="s">
        <v>131</v>
      </c>
      <c r="E22" s="9"/>
      <c r="F22" s="8"/>
      <c r="G22" s="8"/>
      <c r="H22" s="8"/>
      <c r="I22" s="9"/>
      <c r="J22" s="9"/>
      <c r="K22" s="9"/>
      <c r="L22" s="9"/>
      <c r="M22" s="9"/>
      <c r="N22" s="9"/>
      <c r="O22" s="9"/>
      <c r="P22" s="9"/>
      <c r="Q22" s="8"/>
      <c r="R22" s="8"/>
    </row>
    <row r="23" spans="1:18" x14ac:dyDescent="0.3">
      <c r="A23" s="16" t="s">
        <v>139</v>
      </c>
      <c r="B23" s="16">
        <v>44.47</v>
      </c>
      <c r="C23" s="16">
        <v>44.96</v>
      </c>
      <c r="D23" s="16">
        <v>2.8E-3</v>
      </c>
      <c r="E23" s="9"/>
      <c r="F23" s="8"/>
      <c r="G23" s="8"/>
      <c r="H23" s="8"/>
      <c r="I23" s="9"/>
      <c r="J23" s="9"/>
      <c r="K23" s="9"/>
      <c r="L23" s="9"/>
      <c r="M23" s="9"/>
      <c r="N23" s="9"/>
      <c r="O23" s="9"/>
      <c r="P23" s="9"/>
      <c r="Q23" s="8"/>
      <c r="R23" s="8"/>
    </row>
    <row r="24" spans="1:18" x14ac:dyDescent="0.3">
      <c r="A24" s="9"/>
      <c r="B24" s="9"/>
      <c r="C24" s="9"/>
      <c r="D24" s="9"/>
      <c r="E24" s="9"/>
      <c r="F24" s="8"/>
      <c r="G24" s="8"/>
      <c r="H24" s="8"/>
      <c r="I24" s="9"/>
      <c r="J24" s="9"/>
      <c r="K24" s="9"/>
      <c r="L24" s="9"/>
      <c r="M24" s="9"/>
      <c r="N24" s="9"/>
      <c r="O24" s="9"/>
      <c r="P24" s="9"/>
      <c r="Q24" s="8"/>
      <c r="R24" s="8"/>
    </row>
    <row r="25" spans="1:18" x14ac:dyDescent="0.3">
      <c r="A25" s="9"/>
      <c r="B25" s="9"/>
      <c r="C25" s="9"/>
      <c r="D25" s="9"/>
      <c r="E25" s="9"/>
      <c r="F25" s="8"/>
      <c r="G25" s="8"/>
      <c r="H25" s="8"/>
      <c r="I25" s="9"/>
      <c r="J25" s="9"/>
      <c r="K25" s="9"/>
      <c r="L25" s="9"/>
      <c r="M25" s="9"/>
      <c r="N25" s="9"/>
      <c r="O25" s="9"/>
      <c r="P25" s="9"/>
      <c r="Q25" s="8"/>
      <c r="R25" s="8"/>
    </row>
    <row r="26" spans="1:18" x14ac:dyDescent="0.3">
      <c r="A26" s="9"/>
      <c r="B26" s="9"/>
      <c r="C26" s="9"/>
      <c r="D26" s="9"/>
      <c r="E26" s="9"/>
      <c r="F26" s="8"/>
      <c r="G26" s="8"/>
      <c r="H26" s="8"/>
      <c r="I26" s="9"/>
      <c r="J26" s="9"/>
      <c r="K26" s="9"/>
      <c r="L26" s="9"/>
      <c r="M26" s="9"/>
      <c r="N26" s="9"/>
      <c r="O26" s="9"/>
      <c r="P26" s="9"/>
      <c r="Q26" s="8"/>
      <c r="R26" s="8"/>
    </row>
    <row r="27" spans="1:18" ht="27.6" x14ac:dyDescent="0.65">
      <c r="A27" s="9"/>
      <c r="B27" s="33" t="s">
        <v>145</v>
      </c>
      <c r="C27" s="34"/>
      <c r="D27" s="34"/>
      <c r="E27" s="34"/>
      <c r="F27" s="27"/>
      <c r="G27" s="8"/>
      <c r="H27" s="8"/>
      <c r="I27" s="9"/>
      <c r="J27" s="9"/>
      <c r="K27" s="9"/>
      <c r="L27" s="9"/>
      <c r="M27" s="9"/>
      <c r="N27" s="9"/>
      <c r="O27" s="9"/>
      <c r="P27" s="9"/>
      <c r="Q27" s="8"/>
      <c r="R27" s="8"/>
    </row>
    <row r="28" spans="1:18" x14ac:dyDescent="0.3">
      <c r="A28" s="9"/>
      <c r="B28" s="9"/>
      <c r="C28" s="9"/>
      <c r="D28" s="9"/>
      <c r="E28" s="9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</row>
    <row r="29" spans="1:18" x14ac:dyDescent="0.3">
      <c r="A29" s="9"/>
      <c r="B29" s="9"/>
      <c r="C29" s="9"/>
      <c r="D29" s="9"/>
      <c r="E29" s="9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</row>
    <row r="30" spans="1:18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</row>
    <row r="31" spans="1:18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</row>
    <row r="32" spans="1:18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</row>
    <row r="33" spans="1:18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</row>
    <row r="34" spans="1:18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</row>
  </sheetData>
  <mergeCells count="4">
    <mergeCell ref="A1:P3"/>
    <mergeCell ref="A4:D4"/>
    <mergeCell ref="N5:O5"/>
    <mergeCell ref="Q1:AF3"/>
  </mergeCells>
  <conditionalFormatting sqref="D6:D9">
    <cfRule type="cellIs" dxfId="43" priority="4" operator="lessThan">
      <formula>0</formula>
    </cfRule>
    <cfRule type="cellIs" dxfId="42" priority="5" operator="greaterThanOrEqual">
      <formula>0</formula>
    </cfRule>
  </conditionalFormatting>
  <conditionalFormatting sqref="O8">
    <cfRule type="cellIs" dxfId="41" priority="1" operator="lessThan">
      <formula>0</formula>
    </cfRule>
    <cfRule type="cellIs" dxfId="40" priority="2" operator="greaterThanOrEqual">
      <formula>0</formula>
    </cfRule>
  </conditionalFormatting>
  <hyperlinks>
    <hyperlink ref="B27" r:id="rId1"/>
  </hyperlinks>
  <pageMargins left="0.7" right="0.7" top="0.75" bottom="0.75" header="0.3" footer="0.3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B3:I9"/>
  <sheetViews>
    <sheetView showGridLines="0" zoomScaleNormal="100" workbookViewId="0">
      <selection activeCell="B4" sqref="B4:D9"/>
    </sheetView>
  </sheetViews>
  <sheetFormatPr defaultRowHeight="14.4" x14ac:dyDescent="0.3"/>
  <cols>
    <col min="1" max="1" width="12.6640625" bestFit="1" customWidth="1"/>
    <col min="2" max="2" width="14" customWidth="1"/>
    <col min="3" max="3" width="14.21875" bestFit="1" customWidth="1"/>
    <col min="4" max="4" width="13" customWidth="1"/>
    <col min="6" max="6" width="7.44140625" customWidth="1"/>
    <col min="7" max="7" width="6.44140625" customWidth="1"/>
    <col min="8" max="8" width="6.109375" customWidth="1"/>
    <col min="9" max="9" width="7.6640625" customWidth="1"/>
  </cols>
  <sheetData>
    <row r="3" spans="2:9" ht="17.399999999999999" x14ac:dyDescent="0.45">
      <c r="B3" s="46" t="s">
        <v>147</v>
      </c>
      <c r="C3" s="47"/>
      <c r="D3" s="48"/>
      <c r="F3" s="49" t="s">
        <v>149</v>
      </c>
      <c r="G3" s="49"/>
      <c r="H3" s="49"/>
      <c r="I3" s="49"/>
    </row>
    <row r="4" spans="2:9" ht="28.8" x14ac:dyDescent="0.55000000000000004">
      <c r="B4" s="35" t="s">
        <v>16</v>
      </c>
      <c r="C4" s="35" t="s">
        <v>40</v>
      </c>
      <c r="D4" s="35" t="s">
        <v>41</v>
      </c>
      <c r="F4" s="31" t="s">
        <v>16</v>
      </c>
      <c r="G4" s="31" t="s">
        <v>40</v>
      </c>
      <c r="H4" s="31" t="s">
        <v>41</v>
      </c>
      <c r="I4" s="31" t="s">
        <v>43</v>
      </c>
    </row>
    <row r="5" spans="2:9" ht="28.8" x14ac:dyDescent="0.55000000000000004">
      <c r="B5" s="36" t="s">
        <v>153</v>
      </c>
      <c r="C5" s="36">
        <v>371.75</v>
      </c>
      <c r="D5" s="36" t="s">
        <v>154</v>
      </c>
      <c r="F5" s="32" t="s">
        <v>157</v>
      </c>
      <c r="G5" s="32">
        <v>13.86</v>
      </c>
      <c r="H5" s="32" t="s">
        <v>158</v>
      </c>
      <c r="I5" s="32">
        <v>-0.1</v>
      </c>
    </row>
    <row r="6" spans="2:9" ht="28.8" x14ac:dyDescent="0.55000000000000004">
      <c r="B6" s="36" t="s">
        <v>159</v>
      </c>
      <c r="C6" s="36">
        <v>34.82</v>
      </c>
      <c r="D6" s="36" t="s">
        <v>160</v>
      </c>
      <c r="F6" s="32" t="s">
        <v>152</v>
      </c>
      <c r="G6" s="32">
        <v>14.87</v>
      </c>
      <c r="H6" s="32" t="s">
        <v>146</v>
      </c>
      <c r="I6" s="32">
        <v>-9.9900000000000003E-2</v>
      </c>
    </row>
    <row r="7" spans="2:9" ht="28.8" x14ac:dyDescent="0.55000000000000004">
      <c r="B7" s="36" t="s">
        <v>161</v>
      </c>
      <c r="C7" s="36">
        <v>23.58</v>
      </c>
      <c r="D7" s="36" t="s">
        <v>162</v>
      </c>
      <c r="F7" s="32" t="s">
        <v>87</v>
      </c>
      <c r="G7" s="32">
        <v>238.1</v>
      </c>
      <c r="H7" s="32" t="s">
        <v>146</v>
      </c>
      <c r="I7" s="32">
        <v>-9.98E-2</v>
      </c>
    </row>
    <row r="8" spans="2:9" ht="28.8" x14ac:dyDescent="0.55000000000000004">
      <c r="B8" s="36" t="s">
        <v>85</v>
      </c>
      <c r="C8" s="36">
        <v>289.25</v>
      </c>
      <c r="D8" s="36" t="s">
        <v>151</v>
      </c>
      <c r="F8" s="32" t="s">
        <v>148</v>
      </c>
      <c r="G8" s="32">
        <v>15.09</v>
      </c>
      <c r="H8" s="32" t="s">
        <v>146</v>
      </c>
      <c r="I8" s="32">
        <v>-9.9599999999999994E-2</v>
      </c>
    </row>
    <row r="9" spans="2:9" ht="28.8" x14ac:dyDescent="0.55000000000000004">
      <c r="B9" s="36" t="s">
        <v>155</v>
      </c>
      <c r="C9" s="36">
        <v>49</v>
      </c>
      <c r="D9" s="36" t="s">
        <v>156</v>
      </c>
      <c r="F9" s="32" t="s">
        <v>150</v>
      </c>
      <c r="G9" s="32">
        <v>10.050000000000001</v>
      </c>
      <c r="H9" s="32" t="s">
        <v>146</v>
      </c>
      <c r="I9" s="32">
        <v>-9.9500000000000005E-2</v>
      </c>
    </row>
  </sheetData>
  <mergeCells count="2">
    <mergeCell ref="B3:D3"/>
    <mergeCell ref="F3:I3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E79"/>
  <sheetViews>
    <sheetView topLeftCell="A5" workbookViewId="0">
      <selection activeCell="E9" sqref="A7:E9"/>
    </sheetView>
  </sheetViews>
  <sheetFormatPr defaultRowHeight="14.4" x14ac:dyDescent="0.3"/>
  <cols>
    <col min="2" max="2" width="10.109375" bestFit="1" customWidth="1"/>
    <col min="5" max="5" width="12.33203125" bestFit="1" customWidth="1"/>
  </cols>
  <sheetData>
    <row r="1" spans="1:5" ht="28.8" x14ac:dyDescent="0.3">
      <c r="A1" s="23" t="s">
        <v>12</v>
      </c>
      <c r="B1" s="24">
        <v>0</v>
      </c>
    </row>
    <row r="2" spans="1:5" ht="28.8" x14ac:dyDescent="0.3">
      <c r="A2" s="23" t="s">
        <v>13</v>
      </c>
      <c r="B2" s="25">
        <v>0</v>
      </c>
      <c r="C2" s="1"/>
      <c r="D2" s="1"/>
      <c r="E2" s="1">
        <v>0</v>
      </c>
    </row>
    <row r="3" spans="1:5" ht="28.8" x14ac:dyDescent="0.3">
      <c r="A3" s="23" t="s">
        <v>14</v>
      </c>
      <c r="B3" s="25">
        <v>0</v>
      </c>
      <c r="C3" s="1"/>
      <c r="D3" s="1"/>
      <c r="E3" s="1">
        <v>0</v>
      </c>
    </row>
    <row r="4" spans="1:5" ht="28.8" x14ac:dyDescent="0.3">
      <c r="A4" s="23" t="s">
        <v>15</v>
      </c>
      <c r="B4" s="26"/>
      <c r="E4">
        <v>0</v>
      </c>
    </row>
    <row r="5" spans="1:5" x14ac:dyDescent="0.3">
      <c r="B5" s="2"/>
      <c r="C5" s="1"/>
      <c r="D5" s="1"/>
      <c r="E5" s="1">
        <v>0</v>
      </c>
    </row>
    <row r="6" spans="1:5" x14ac:dyDescent="0.3">
      <c r="A6" s="22" t="s">
        <v>16</v>
      </c>
      <c r="B6" s="22" t="s">
        <v>17</v>
      </c>
      <c r="C6" s="22" t="s">
        <v>18</v>
      </c>
      <c r="D6" s="22" t="s">
        <v>0</v>
      </c>
      <c r="E6" s="22" t="s">
        <v>19</v>
      </c>
    </row>
    <row r="7" spans="1:5" x14ac:dyDescent="0.3">
      <c r="A7" s="20"/>
      <c r="B7" s="20"/>
      <c r="C7" s="21"/>
      <c r="D7" s="21"/>
      <c r="E7" s="21"/>
    </row>
    <row r="8" spans="1:5" x14ac:dyDescent="0.3">
      <c r="A8" s="20"/>
      <c r="B8" s="20"/>
      <c r="C8" s="21"/>
      <c r="D8" s="21"/>
      <c r="E8" s="21"/>
    </row>
    <row r="9" spans="1:5" x14ac:dyDescent="0.3">
      <c r="A9" s="20"/>
      <c r="B9" s="20"/>
      <c r="C9" s="21"/>
      <c r="D9" s="21"/>
      <c r="E9" s="21"/>
    </row>
    <row r="10" spans="1:5" x14ac:dyDescent="0.3">
      <c r="A10" s="20"/>
      <c r="B10" s="20"/>
      <c r="C10" s="21"/>
      <c r="D10" s="21"/>
      <c r="E10" s="21"/>
    </row>
    <row r="11" spans="1:5" x14ac:dyDescent="0.3">
      <c r="A11" s="20"/>
      <c r="B11" s="20"/>
      <c r="C11" s="20"/>
      <c r="D11" s="20"/>
      <c r="E11" s="20"/>
    </row>
    <row r="12" spans="1:5" x14ac:dyDescent="0.3">
      <c r="A12" s="20"/>
      <c r="B12" s="20"/>
      <c r="C12" s="20"/>
      <c r="D12" s="20"/>
      <c r="E12" s="20"/>
    </row>
    <row r="13" spans="1:5" x14ac:dyDescent="0.3">
      <c r="A13" s="20"/>
      <c r="B13" s="20"/>
      <c r="C13" s="20"/>
      <c r="D13" s="20"/>
      <c r="E13" s="20"/>
    </row>
    <row r="14" spans="1:5" x14ac:dyDescent="0.3">
      <c r="A14" s="20"/>
      <c r="B14" s="20"/>
      <c r="C14" s="20"/>
      <c r="D14" s="20"/>
      <c r="E14" s="20"/>
    </row>
    <row r="15" spans="1:5" x14ac:dyDescent="0.3">
      <c r="A15" s="20"/>
      <c r="B15" s="20"/>
      <c r="C15" s="20"/>
      <c r="D15" s="20"/>
      <c r="E15" s="20"/>
    </row>
    <row r="16" spans="1:5" x14ac:dyDescent="0.3">
      <c r="A16" s="20"/>
      <c r="B16" s="20"/>
      <c r="C16" s="20"/>
      <c r="D16" s="20"/>
      <c r="E16" s="20"/>
    </row>
    <row r="17" spans="1:5" x14ac:dyDescent="0.3">
      <c r="A17" s="20"/>
      <c r="B17" s="20"/>
      <c r="C17" s="20"/>
      <c r="D17" s="20"/>
      <c r="E17" s="20"/>
    </row>
    <row r="18" spans="1:5" x14ac:dyDescent="0.3">
      <c r="A18" s="20"/>
      <c r="B18" s="20"/>
      <c r="C18" s="20"/>
      <c r="D18" s="20"/>
      <c r="E18" s="20"/>
    </row>
    <row r="19" spans="1:5" x14ac:dyDescent="0.3">
      <c r="A19" s="20"/>
      <c r="B19" s="20"/>
      <c r="C19" s="20"/>
      <c r="D19" s="20"/>
      <c r="E19" s="20"/>
    </row>
    <row r="20" spans="1:5" x14ac:dyDescent="0.3">
      <c r="A20" s="20"/>
      <c r="B20" s="20"/>
      <c r="C20" s="20"/>
      <c r="D20" s="20"/>
      <c r="E20" s="20"/>
    </row>
    <row r="21" spans="1:5" x14ac:dyDescent="0.3">
      <c r="A21" s="20"/>
      <c r="B21" s="20"/>
      <c r="C21" s="20"/>
      <c r="D21" s="20"/>
      <c r="E21" s="20"/>
    </row>
    <row r="22" spans="1:5" x14ac:dyDescent="0.3">
      <c r="A22" s="20"/>
      <c r="B22" s="20"/>
      <c r="C22" s="20"/>
      <c r="D22" s="20"/>
      <c r="E22" s="20"/>
    </row>
    <row r="23" spans="1:5" x14ac:dyDescent="0.3">
      <c r="A23" s="20"/>
      <c r="B23" s="20"/>
      <c r="C23" s="20"/>
      <c r="D23" s="20"/>
      <c r="E23" s="20"/>
    </row>
    <row r="24" spans="1:5" x14ac:dyDescent="0.3">
      <c r="A24" s="20"/>
      <c r="B24" s="20"/>
      <c r="C24" s="20"/>
      <c r="D24" s="20"/>
      <c r="E24" s="20"/>
    </row>
    <row r="25" spans="1:5" x14ac:dyDescent="0.3">
      <c r="A25" s="20"/>
      <c r="B25" s="20"/>
      <c r="C25" s="20"/>
      <c r="D25" s="20"/>
      <c r="E25" s="20"/>
    </row>
    <row r="26" spans="1:5" x14ac:dyDescent="0.3">
      <c r="A26" s="20"/>
      <c r="B26" s="20"/>
      <c r="C26" s="20"/>
      <c r="D26" s="20"/>
      <c r="E26" s="20"/>
    </row>
    <row r="27" spans="1:5" x14ac:dyDescent="0.3">
      <c r="A27" s="20"/>
      <c r="B27" s="20"/>
      <c r="C27" s="20"/>
      <c r="D27" s="20"/>
      <c r="E27" s="20"/>
    </row>
    <row r="28" spans="1:5" x14ac:dyDescent="0.3">
      <c r="A28" s="20"/>
      <c r="B28" s="20"/>
      <c r="C28" s="20"/>
      <c r="D28" s="20"/>
      <c r="E28" s="20"/>
    </row>
    <row r="29" spans="1:5" x14ac:dyDescent="0.3">
      <c r="A29" s="20"/>
      <c r="B29" s="20"/>
      <c r="C29" s="20"/>
      <c r="D29" s="20"/>
      <c r="E29" s="20"/>
    </row>
    <row r="30" spans="1:5" x14ac:dyDescent="0.3">
      <c r="A30" s="20"/>
      <c r="B30" s="20"/>
      <c r="C30" s="20"/>
      <c r="D30" s="20"/>
      <c r="E30" s="20"/>
    </row>
    <row r="31" spans="1:5" x14ac:dyDescent="0.3">
      <c r="A31" s="20"/>
      <c r="B31" s="20"/>
      <c r="C31" s="20"/>
      <c r="D31" s="20"/>
      <c r="E31" s="20"/>
    </row>
    <row r="32" spans="1:5" x14ac:dyDescent="0.3">
      <c r="A32" s="20"/>
      <c r="B32" s="20"/>
      <c r="C32" s="20"/>
      <c r="D32" s="20"/>
      <c r="E32" s="20"/>
    </row>
    <row r="33" spans="1:5" x14ac:dyDescent="0.3">
      <c r="A33" s="20"/>
      <c r="B33" s="20"/>
      <c r="C33" s="20"/>
      <c r="D33" s="20"/>
      <c r="E33" s="20"/>
    </row>
    <row r="34" spans="1:5" x14ac:dyDescent="0.3">
      <c r="A34" s="20"/>
      <c r="B34" s="20"/>
      <c r="C34" s="20"/>
      <c r="D34" s="20"/>
      <c r="E34" s="20"/>
    </row>
    <row r="35" spans="1:5" x14ac:dyDescent="0.3">
      <c r="A35" s="20"/>
      <c r="B35" s="20"/>
      <c r="C35" s="20"/>
      <c r="D35" s="20"/>
      <c r="E35" s="20"/>
    </row>
    <row r="36" spans="1:5" x14ac:dyDescent="0.3">
      <c r="A36" s="20"/>
      <c r="B36" s="20"/>
      <c r="C36" s="20"/>
      <c r="D36" s="20"/>
      <c r="E36" s="20"/>
    </row>
    <row r="37" spans="1:5" x14ac:dyDescent="0.3">
      <c r="A37" s="20"/>
      <c r="B37" s="20"/>
      <c r="C37" s="20"/>
      <c r="D37" s="20"/>
      <c r="E37" s="20"/>
    </row>
    <row r="38" spans="1:5" x14ac:dyDescent="0.3">
      <c r="A38" s="20"/>
      <c r="B38" s="20"/>
      <c r="C38" s="20"/>
      <c r="D38" s="20"/>
      <c r="E38" s="20"/>
    </row>
    <row r="39" spans="1:5" x14ac:dyDescent="0.3">
      <c r="A39" s="20"/>
      <c r="B39" s="20"/>
      <c r="C39" s="20"/>
      <c r="D39" s="20"/>
      <c r="E39" s="20"/>
    </row>
    <row r="40" spans="1:5" x14ac:dyDescent="0.3">
      <c r="A40" s="20"/>
      <c r="B40" s="20"/>
      <c r="C40" s="20"/>
      <c r="D40" s="20"/>
      <c r="E40" s="20"/>
    </row>
    <row r="41" spans="1:5" x14ac:dyDescent="0.3">
      <c r="A41" s="20"/>
      <c r="B41" s="20"/>
      <c r="C41" s="20"/>
      <c r="D41" s="20"/>
      <c r="E41" s="20"/>
    </row>
    <row r="42" spans="1:5" x14ac:dyDescent="0.3">
      <c r="A42" s="20"/>
      <c r="B42" s="20"/>
      <c r="C42" s="20"/>
      <c r="D42" s="20"/>
      <c r="E42" s="20"/>
    </row>
    <row r="43" spans="1:5" x14ac:dyDescent="0.3">
      <c r="A43" s="20"/>
      <c r="B43" s="20"/>
      <c r="C43" s="20"/>
      <c r="D43" s="20"/>
      <c r="E43" s="20"/>
    </row>
    <row r="44" spans="1:5" x14ac:dyDescent="0.3">
      <c r="A44" s="20"/>
      <c r="B44" s="20"/>
      <c r="C44" s="20"/>
      <c r="D44" s="20"/>
      <c r="E44" s="20"/>
    </row>
    <row r="45" spans="1:5" x14ac:dyDescent="0.3">
      <c r="A45" s="20"/>
      <c r="B45" s="20"/>
      <c r="C45" s="20"/>
      <c r="D45" s="20"/>
      <c r="E45" s="20"/>
    </row>
    <row r="46" spans="1:5" x14ac:dyDescent="0.3">
      <c r="A46" s="20"/>
      <c r="B46" s="20"/>
      <c r="C46" s="20"/>
      <c r="D46" s="20"/>
      <c r="E46" s="20"/>
    </row>
    <row r="47" spans="1:5" x14ac:dyDescent="0.3">
      <c r="A47" s="20"/>
      <c r="B47" s="20"/>
      <c r="C47" s="20"/>
      <c r="D47" s="20"/>
      <c r="E47" s="20"/>
    </row>
    <row r="48" spans="1:5" x14ac:dyDescent="0.3">
      <c r="A48" s="20"/>
      <c r="B48" s="20"/>
      <c r="C48" s="20"/>
      <c r="D48" s="20"/>
      <c r="E48" s="20"/>
    </row>
    <row r="49" spans="1:5" x14ac:dyDescent="0.3">
      <c r="A49" s="20"/>
      <c r="B49" s="20"/>
      <c r="C49" s="20"/>
      <c r="D49" s="20"/>
      <c r="E49" s="20"/>
    </row>
    <row r="50" spans="1:5" x14ac:dyDescent="0.3">
      <c r="A50" s="20"/>
      <c r="B50" s="20"/>
      <c r="C50" s="20"/>
      <c r="D50" s="20"/>
      <c r="E50" s="20"/>
    </row>
    <row r="51" spans="1:5" x14ac:dyDescent="0.3">
      <c r="A51" s="20"/>
      <c r="B51" s="20"/>
      <c r="C51" s="20"/>
      <c r="D51" s="20"/>
      <c r="E51" s="20"/>
    </row>
    <row r="52" spans="1:5" x14ac:dyDescent="0.3">
      <c r="A52" s="20"/>
      <c r="B52" s="20"/>
      <c r="C52" s="20"/>
      <c r="D52" s="20"/>
      <c r="E52" s="20"/>
    </row>
    <row r="53" spans="1:5" x14ac:dyDescent="0.3">
      <c r="A53" s="20"/>
      <c r="B53" s="20"/>
      <c r="C53" s="20"/>
      <c r="D53" s="20"/>
      <c r="E53" s="20"/>
    </row>
    <row r="54" spans="1:5" x14ac:dyDescent="0.3">
      <c r="A54" s="20"/>
      <c r="B54" s="20"/>
      <c r="C54" s="20"/>
      <c r="D54" s="20"/>
      <c r="E54" s="20"/>
    </row>
    <row r="55" spans="1:5" x14ac:dyDescent="0.3">
      <c r="A55" s="20"/>
      <c r="B55" s="20"/>
      <c r="C55" s="20"/>
      <c r="D55" s="20"/>
      <c r="E55" s="20"/>
    </row>
    <row r="56" spans="1:5" x14ac:dyDescent="0.3">
      <c r="A56" s="20"/>
      <c r="B56" s="20"/>
      <c r="C56" s="20"/>
      <c r="D56" s="20"/>
      <c r="E56" s="20"/>
    </row>
    <row r="57" spans="1:5" x14ac:dyDescent="0.3">
      <c r="A57" s="20"/>
      <c r="B57" s="20"/>
      <c r="C57" s="20"/>
      <c r="D57" s="20"/>
      <c r="E57" s="20"/>
    </row>
    <row r="58" spans="1:5" x14ac:dyDescent="0.3">
      <c r="A58" s="20"/>
      <c r="B58" s="20"/>
      <c r="C58" s="20"/>
      <c r="D58" s="20"/>
      <c r="E58" s="20"/>
    </row>
    <row r="59" spans="1:5" x14ac:dyDescent="0.3">
      <c r="A59" s="20"/>
      <c r="B59" s="20"/>
      <c r="C59" s="20"/>
      <c r="D59" s="20"/>
      <c r="E59" s="20"/>
    </row>
    <row r="60" spans="1:5" x14ac:dyDescent="0.3">
      <c r="A60" s="20"/>
      <c r="B60" s="20"/>
      <c r="C60" s="20"/>
      <c r="D60" s="20"/>
      <c r="E60" s="20"/>
    </row>
    <row r="61" spans="1:5" x14ac:dyDescent="0.3">
      <c r="A61" s="20"/>
      <c r="B61" s="20"/>
      <c r="C61" s="20"/>
      <c r="D61" s="20"/>
      <c r="E61" s="20"/>
    </row>
    <row r="62" spans="1:5" x14ac:dyDescent="0.3">
      <c r="A62" s="20"/>
      <c r="B62" s="20"/>
      <c r="C62" s="20"/>
      <c r="D62" s="20"/>
      <c r="E62" s="20"/>
    </row>
    <row r="63" spans="1:5" x14ac:dyDescent="0.3">
      <c r="A63" s="20"/>
      <c r="B63" s="20"/>
      <c r="C63" s="20"/>
      <c r="D63" s="20"/>
      <c r="E63" s="20"/>
    </row>
    <row r="64" spans="1:5" x14ac:dyDescent="0.3">
      <c r="A64" s="20"/>
      <c r="B64" s="20"/>
      <c r="C64" s="20"/>
      <c r="D64" s="20"/>
      <c r="E64" s="20"/>
    </row>
    <row r="65" spans="1:5" x14ac:dyDescent="0.3">
      <c r="A65" s="20"/>
      <c r="B65" s="20"/>
      <c r="C65" s="20"/>
      <c r="D65" s="20"/>
      <c r="E65" s="20"/>
    </row>
    <row r="66" spans="1:5" x14ac:dyDescent="0.3">
      <c r="A66" s="20"/>
      <c r="B66" s="20"/>
      <c r="C66" s="20"/>
      <c r="D66" s="20"/>
      <c r="E66" s="20"/>
    </row>
    <row r="67" spans="1:5" x14ac:dyDescent="0.3">
      <c r="A67" s="20"/>
      <c r="B67" s="20"/>
      <c r="C67" s="20"/>
      <c r="D67" s="20"/>
      <c r="E67" s="20"/>
    </row>
    <row r="68" spans="1:5" x14ac:dyDescent="0.3">
      <c r="A68" s="20"/>
      <c r="B68" s="20"/>
      <c r="C68" s="20"/>
      <c r="D68" s="20"/>
      <c r="E68" s="20"/>
    </row>
    <row r="69" spans="1:5" x14ac:dyDescent="0.3">
      <c r="A69" s="20"/>
      <c r="B69" s="20"/>
      <c r="C69" s="20"/>
      <c r="D69" s="20"/>
      <c r="E69" s="20"/>
    </row>
    <row r="70" spans="1:5" x14ac:dyDescent="0.3">
      <c r="A70" s="20"/>
      <c r="B70" s="20"/>
      <c r="C70" s="20"/>
      <c r="D70" s="20"/>
      <c r="E70" s="20"/>
    </row>
    <row r="71" spans="1:5" x14ac:dyDescent="0.3">
      <c r="A71" s="20"/>
      <c r="B71" s="20"/>
      <c r="C71" s="20"/>
      <c r="D71" s="20"/>
      <c r="E71" s="20"/>
    </row>
    <row r="72" spans="1:5" x14ac:dyDescent="0.3">
      <c r="A72" s="20"/>
      <c r="B72" s="20"/>
      <c r="C72" s="20"/>
      <c r="D72" s="20"/>
      <c r="E72" s="20"/>
    </row>
    <row r="73" spans="1:5" x14ac:dyDescent="0.3">
      <c r="A73" s="20"/>
      <c r="B73" s="20"/>
      <c r="C73" s="20"/>
      <c r="D73" s="20"/>
      <c r="E73" s="20"/>
    </row>
    <row r="74" spans="1:5" x14ac:dyDescent="0.3">
      <c r="A74" s="20"/>
      <c r="B74" s="20"/>
      <c r="C74" s="20"/>
      <c r="D74" s="20"/>
      <c r="E74" s="20"/>
    </row>
    <row r="75" spans="1:5" x14ac:dyDescent="0.3">
      <c r="A75" s="20"/>
      <c r="B75" s="20"/>
      <c r="C75" s="20"/>
      <c r="D75" s="20"/>
      <c r="E75" s="20"/>
    </row>
    <row r="76" spans="1:5" x14ac:dyDescent="0.3">
      <c r="A76" s="20"/>
      <c r="B76" s="20"/>
      <c r="C76" s="20"/>
      <c r="D76" s="20"/>
      <c r="E76" s="20"/>
    </row>
    <row r="77" spans="1:5" x14ac:dyDescent="0.3">
      <c r="A77" s="20"/>
      <c r="B77" s="20"/>
      <c r="C77" s="20"/>
      <c r="D77" s="20"/>
      <c r="E77" s="20"/>
    </row>
    <row r="78" spans="1:5" x14ac:dyDescent="0.3">
      <c r="A78" s="20"/>
      <c r="B78" s="20"/>
      <c r="C78" s="20"/>
      <c r="D78" s="20"/>
      <c r="E78" s="20"/>
    </row>
    <row r="79" spans="1:5" x14ac:dyDescent="0.3">
      <c r="A79" s="20"/>
      <c r="B79" s="20"/>
      <c r="C79" s="20"/>
      <c r="D79" s="20"/>
      <c r="E79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B101"/>
  <sheetViews>
    <sheetView workbookViewId="0">
      <selection activeCell="E8" sqref="E8"/>
    </sheetView>
  </sheetViews>
  <sheetFormatPr defaultRowHeight="14.4" x14ac:dyDescent="0.3"/>
  <cols>
    <col min="1" max="1" width="18.109375" bestFit="1" customWidth="1"/>
    <col min="2" max="2" width="7.77734375" bestFit="1" customWidth="1"/>
  </cols>
  <sheetData>
    <row r="1" spans="1:2" x14ac:dyDescent="0.3">
      <c r="A1" s="6" t="s">
        <v>38</v>
      </c>
      <c r="B1" s="6" t="s">
        <v>39</v>
      </c>
    </row>
    <row r="2" spans="1:2" x14ac:dyDescent="0.3">
      <c r="A2" s="4" t="s">
        <v>49</v>
      </c>
      <c r="B2" s="4">
        <f>VLOOKUP(A2,Table_0[#All],2,0)</f>
        <v>139.30000000000001</v>
      </c>
    </row>
    <row r="3" spans="1:2" x14ac:dyDescent="0.3">
      <c r="A3" s="5" t="s">
        <v>50</v>
      </c>
      <c r="B3" s="5">
        <f>VLOOKUP(A3,Table_0[#All],2,0)</f>
        <v>256</v>
      </c>
    </row>
    <row r="4" spans="1:2" x14ac:dyDescent="0.3">
      <c r="A4" s="4" t="s">
        <v>51</v>
      </c>
      <c r="B4" s="4">
        <f>VLOOKUP(A4,Table_0[#All],2,0)</f>
        <v>7.44</v>
      </c>
    </row>
    <row r="5" spans="1:2" x14ac:dyDescent="0.3">
      <c r="A5" s="5" t="s">
        <v>52</v>
      </c>
      <c r="B5" s="5">
        <f>VLOOKUP(A5,Table_0[#All],2,0)</f>
        <v>24.26</v>
      </c>
    </row>
    <row r="6" spans="1:2" x14ac:dyDescent="0.3">
      <c r="A6" s="4" t="s">
        <v>1</v>
      </c>
      <c r="B6" s="4">
        <f>VLOOKUP(A6,Table_0[#All],2,0)</f>
        <v>50.95</v>
      </c>
    </row>
    <row r="7" spans="1:2" x14ac:dyDescent="0.3">
      <c r="A7" s="5" t="s">
        <v>53</v>
      </c>
      <c r="B7" s="5">
        <f>VLOOKUP(A7,Table_0[#All],2,0)</f>
        <v>9.08</v>
      </c>
    </row>
    <row r="8" spans="1:2" x14ac:dyDescent="0.3">
      <c r="A8" s="4" t="s">
        <v>54</v>
      </c>
      <c r="B8" s="4">
        <f>VLOOKUP(A8,Table_0[#All],2,0)</f>
        <v>32.46</v>
      </c>
    </row>
    <row r="9" spans="1:2" x14ac:dyDescent="0.3">
      <c r="A9" s="5" t="s">
        <v>36</v>
      </c>
      <c r="B9" s="5">
        <f>VLOOKUP(A9,Table_0[#All],2,0)</f>
        <v>81.05</v>
      </c>
    </row>
    <row r="10" spans="1:2" x14ac:dyDescent="0.3">
      <c r="A10" s="4" t="s">
        <v>55</v>
      </c>
      <c r="B10" s="4">
        <f>VLOOKUP(A10,Table_0[#All],2,0)</f>
        <v>44.06</v>
      </c>
    </row>
    <row r="11" spans="1:2" x14ac:dyDescent="0.3">
      <c r="A11" s="5" t="s">
        <v>56</v>
      </c>
      <c r="B11" s="5">
        <f>VLOOKUP(A11,Table_0[#All],2,0)</f>
        <v>69.849999999999994</v>
      </c>
    </row>
    <row r="12" spans="1:2" x14ac:dyDescent="0.3">
      <c r="A12" s="4" t="s">
        <v>57</v>
      </c>
      <c r="B12" s="4">
        <f>VLOOKUP(A12,Table_0[#All],2,0)</f>
        <v>77.45</v>
      </c>
    </row>
    <row r="13" spans="1:2" x14ac:dyDescent="0.3">
      <c r="A13" s="5" t="s">
        <v>58</v>
      </c>
      <c r="B13" s="5">
        <f>VLOOKUP(A13,Table_0[#All],2,0)</f>
        <v>88</v>
      </c>
    </row>
    <row r="14" spans="1:2" x14ac:dyDescent="0.3">
      <c r="A14" s="4" t="s">
        <v>59</v>
      </c>
      <c r="B14" s="4">
        <f>VLOOKUP(A14,Table_0[#All],2,0)</f>
        <v>105.4</v>
      </c>
    </row>
    <row r="15" spans="1:2" x14ac:dyDescent="0.3">
      <c r="A15" s="5" t="s">
        <v>60</v>
      </c>
      <c r="B15" s="5">
        <f>VLOOKUP(A15,Table_0[#All],2,0)</f>
        <v>26.56</v>
      </c>
    </row>
    <row r="16" spans="1:2" x14ac:dyDescent="0.3">
      <c r="A16" s="4" t="s">
        <v>22</v>
      </c>
      <c r="B16" s="4">
        <f>VLOOKUP(A16,Table_0[#All],2,0)</f>
        <v>129.6</v>
      </c>
    </row>
    <row r="17" spans="1:2" x14ac:dyDescent="0.3">
      <c r="A17" s="5" t="s">
        <v>61</v>
      </c>
      <c r="B17" s="5">
        <f>VLOOKUP(A17,Table_0[#All],2,0)</f>
        <v>93.55</v>
      </c>
    </row>
    <row r="18" spans="1:2" x14ac:dyDescent="0.3">
      <c r="A18" s="4" t="s">
        <v>62</v>
      </c>
      <c r="B18" s="4">
        <f>VLOOKUP(A18,Table_0[#All],2,0)</f>
        <v>52.25</v>
      </c>
    </row>
    <row r="19" spans="1:2" x14ac:dyDescent="0.3">
      <c r="A19" s="5" t="s">
        <v>63</v>
      </c>
      <c r="B19" s="5">
        <f>VLOOKUP(A19,Table_0[#All],2,0)</f>
        <v>14.05</v>
      </c>
    </row>
    <row r="20" spans="1:2" x14ac:dyDescent="0.3">
      <c r="A20" s="4" t="s">
        <v>24</v>
      </c>
      <c r="B20" s="4">
        <f>VLOOKUP(A20,Table_0[#All],2,0)</f>
        <v>476</v>
      </c>
    </row>
    <row r="21" spans="1:2" x14ac:dyDescent="0.3">
      <c r="A21" s="5" t="s">
        <v>64</v>
      </c>
      <c r="B21" s="5">
        <f>VLOOKUP(A21,Table_0[#All],2,0)</f>
        <v>330.75</v>
      </c>
    </row>
    <row r="22" spans="1:2" x14ac:dyDescent="0.3">
      <c r="A22" s="4" t="s">
        <v>65</v>
      </c>
      <c r="B22" s="4">
        <f>VLOOKUP(A22,Table_0[#All],2,0)</f>
        <v>1836</v>
      </c>
    </row>
    <row r="23" spans="1:2" x14ac:dyDescent="0.3">
      <c r="A23" s="5" t="s">
        <v>66</v>
      </c>
      <c r="B23" s="5">
        <f>VLOOKUP(A23,Table_0[#All],2,0)</f>
        <v>16.350000000000001</v>
      </c>
    </row>
    <row r="24" spans="1:2" x14ac:dyDescent="0.3">
      <c r="A24" s="4" t="s">
        <v>67</v>
      </c>
      <c r="B24" s="4">
        <f>VLOOKUP(A24,Table_0[#All],2,0)</f>
        <v>4.97</v>
      </c>
    </row>
    <row r="25" spans="1:2" x14ac:dyDescent="0.3">
      <c r="A25" s="5" t="s">
        <v>68</v>
      </c>
      <c r="B25" s="5">
        <f>VLOOKUP(A25,Table_0[#All],2,0)</f>
        <v>1.54</v>
      </c>
    </row>
    <row r="26" spans="1:2" x14ac:dyDescent="0.3">
      <c r="A26" s="4" t="s">
        <v>69</v>
      </c>
      <c r="B26" s="4">
        <f>VLOOKUP(A26,Table_0[#All],2,0)</f>
        <v>48.76</v>
      </c>
    </row>
    <row r="27" spans="1:2" x14ac:dyDescent="0.3">
      <c r="A27" s="5" t="s">
        <v>70</v>
      </c>
      <c r="B27" s="5">
        <f>VLOOKUP(A27,Table_0[#All],2,0)</f>
        <v>48.2</v>
      </c>
    </row>
    <row r="28" spans="1:2" x14ac:dyDescent="0.3">
      <c r="A28" s="4" t="s">
        <v>71</v>
      </c>
      <c r="B28" s="4">
        <f>VLOOKUP(A28,Table_0[#All],2,0)</f>
        <v>1793</v>
      </c>
    </row>
    <row r="29" spans="1:2" x14ac:dyDescent="0.3">
      <c r="A29" s="5" t="s">
        <v>72</v>
      </c>
      <c r="B29" s="5">
        <f>VLOOKUP(A29,Table_0[#All],2,0)</f>
        <v>14.37</v>
      </c>
    </row>
    <row r="30" spans="1:2" x14ac:dyDescent="0.3">
      <c r="A30" s="4" t="s">
        <v>73</v>
      </c>
      <c r="B30" s="4">
        <f>VLOOKUP(A30,Table_0[#All],2,0)</f>
        <v>173.6</v>
      </c>
    </row>
    <row r="31" spans="1:2" x14ac:dyDescent="0.3">
      <c r="A31" s="5" t="s">
        <v>74</v>
      </c>
      <c r="B31" s="5">
        <f>VLOOKUP(A31,Table_0[#All],2,0)</f>
        <v>14.66</v>
      </c>
    </row>
    <row r="32" spans="1:2" x14ac:dyDescent="0.3">
      <c r="A32" s="4" t="s">
        <v>75</v>
      </c>
      <c r="B32" s="4">
        <f>VLOOKUP(A32,Table_0[#All],2,0)</f>
        <v>46.1</v>
      </c>
    </row>
    <row r="33" spans="1:2" x14ac:dyDescent="0.3">
      <c r="A33" s="5" t="s">
        <v>76</v>
      </c>
      <c r="B33" s="5">
        <f>VLOOKUP(A33,Table_0[#All],2,0)</f>
        <v>102.8</v>
      </c>
    </row>
    <row r="34" spans="1:2" x14ac:dyDescent="0.3">
      <c r="A34" s="4" t="s">
        <v>77</v>
      </c>
      <c r="B34" s="4">
        <f>VLOOKUP(A34,Table_0[#All],2,0)</f>
        <v>8305</v>
      </c>
    </row>
    <row r="35" spans="1:2" x14ac:dyDescent="0.3">
      <c r="A35" s="5" t="s">
        <v>78</v>
      </c>
      <c r="B35" s="5">
        <f>VLOOKUP(A35,Table_0[#All],2,0)</f>
        <v>13.98</v>
      </c>
    </row>
    <row r="36" spans="1:2" x14ac:dyDescent="0.3">
      <c r="A36" s="4" t="s">
        <v>79</v>
      </c>
      <c r="B36" s="4">
        <f>VLOOKUP(A36,Table_0[#All],2,0)</f>
        <v>4.88</v>
      </c>
    </row>
    <row r="37" spans="1:2" x14ac:dyDescent="0.3">
      <c r="A37" s="5" t="s">
        <v>80</v>
      </c>
      <c r="B37" s="5">
        <f>VLOOKUP(A37,Table_0[#All],2,0)</f>
        <v>53.35</v>
      </c>
    </row>
    <row r="38" spans="1:2" x14ac:dyDescent="0.3">
      <c r="A38" s="4" t="s">
        <v>81</v>
      </c>
      <c r="B38" s="4">
        <f>VLOOKUP(A38,Table_0[#All],2,0)</f>
        <v>60.3</v>
      </c>
    </row>
    <row r="39" spans="1:2" x14ac:dyDescent="0.3">
      <c r="A39" s="5" t="s">
        <v>35</v>
      </c>
      <c r="B39" s="5">
        <f>VLOOKUP(A39,Table_0[#All],2,0)</f>
        <v>23.44</v>
      </c>
    </row>
    <row r="40" spans="1:2" x14ac:dyDescent="0.3">
      <c r="A40" s="4" t="s">
        <v>82</v>
      </c>
      <c r="B40" s="4">
        <f>VLOOKUP(A40,Table_0[#All],2,0)</f>
        <v>26.8</v>
      </c>
    </row>
    <row r="41" spans="1:2" x14ac:dyDescent="0.3">
      <c r="A41" s="5" t="s">
        <v>29</v>
      </c>
      <c r="B41" s="5">
        <f>VLOOKUP(A41,Table_0[#All],2,0)</f>
        <v>80.150000000000006</v>
      </c>
    </row>
    <row r="42" spans="1:2" x14ac:dyDescent="0.3">
      <c r="A42" s="4" t="s">
        <v>23</v>
      </c>
      <c r="B42" s="4">
        <f>VLOOKUP(A42,Table_0[#All],2,0)</f>
        <v>105.9</v>
      </c>
    </row>
    <row r="43" spans="1:2" x14ac:dyDescent="0.3">
      <c r="A43" s="5" t="s">
        <v>83</v>
      </c>
      <c r="B43" s="5">
        <f>VLOOKUP(A43,Table_0[#All],2,0)</f>
        <v>42.92</v>
      </c>
    </row>
    <row r="44" spans="1:2" x14ac:dyDescent="0.3">
      <c r="A44" s="4" t="s">
        <v>84</v>
      </c>
      <c r="B44" s="4">
        <f>VLOOKUP(A44,Table_0[#All],2,0)</f>
        <v>341</v>
      </c>
    </row>
    <row r="45" spans="1:2" x14ac:dyDescent="0.3">
      <c r="A45" s="5" t="s">
        <v>85</v>
      </c>
      <c r="B45" s="5">
        <f>VLOOKUP(A45,Table_0[#All],2,0)</f>
        <v>289.25</v>
      </c>
    </row>
    <row r="46" spans="1:2" x14ac:dyDescent="0.3">
      <c r="A46" s="4" t="s">
        <v>86</v>
      </c>
      <c r="B46" s="4">
        <f>VLOOKUP(A46,Table_0[#All],2,0)</f>
        <v>1.79</v>
      </c>
    </row>
    <row r="47" spans="1:2" x14ac:dyDescent="0.3">
      <c r="A47" s="5" t="s">
        <v>87</v>
      </c>
      <c r="B47" s="5">
        <f>VLOOKUP(A47,Table_0[#All],2,0)</f>
        <v>238.1</v>
      </c>
    </row>
    <row r="48" spans="1:2" x14ac:dyDescent="0.3">
      <c r="A48" s="4" t="s">
        <v>88</v>
      </c>
      <c r="B48" s="4">
        <f>VLOOKUP(A48,Table_0[#All],2,0)</f>
        <v>19.43</v>
      </c>
    </row>
    <row r="49" spans="1:2" x14ac:dyDescent="0.3">
      <c r="A49" s="5" t="s">
        <v>32</v>
      </c>
      <c r="B49" s="5">
        <f>VLOOKUP(A49,Table_0[#All],2,0)</f>
        <v>3.09</v>
      </c>
    </row>
    <row r="50" spans="1:2" x14ac:dyDescent="0.3">
      <c r="A50" s="4" t="s">
        <v>89</v>
      </c>
      <c r="B50" s="4">
        <f>VLOOKUP(A50,Table_0[#All],2,0)</f>
        <v>13.32</v>
      </c>
    </row>
    <row r="51" spans="1:2" x14ac:dyDescent="0.3">
      <c r="A51" s="5" t="s">
        <v>27</v>
      </c>
      <c r="B51" s="5">
        <f>VLOOKUP(A51,Table_0[#All],2,0)</f>
        <v>10.75</v>
      </c>
    </row>
    <row r="52" spans="1:2" x14ac:dyDescent="0.3">
      <c r="A52" s="4" t="s">
        <v>90</v>
      </c>
      <c r="B52" s="4">
        <f>VLOOKUP(A52,Table_0[#All],2,0)</f>
        <v>32.799999999999997</v>
      </c>
    </row>
    <row r="53" spans="1:2" x14ac:dyDescent="0.3">
      <c r="A53" s="5" t="s">
        <v>91</v>
      </c>
      <c r="B53" s="5">
        <f>VLOOKUP(A53,Table_0[#All],2,0)</f>
        <v>9.94</v>
      </c>
    </row>
    <row r="54" spans="1:2" x14ac:dyDescent="0.3">
      <c r="A54" s="4" t="s">
        <v>92</v>
      </c>
      <c r="B54" s="4">
        <f>VLOOKUP(A54,Table_0[#All],2,0)</f>
        <v>13.35</v>
      </c>
    </row>
    <row r="55" spans="1:2" x14ac:dyDescent="0.3">
      <c r="A55" s="5" t="s">
        <v>37</v>
      </c>
      <c r="B55" s="5">
        <f>VLOOKUP(A55,Table_0[#All],2,0)</f>
        <v>141.69999999999999</v>
      </c>
    </row>
    <row r="56" spans="1:2" x14ac:dyDescent="0.3">
      <c r="A56" s="4" t="s">
        <v>93</v>
      </c>
      <c r="B56" s="4">
        <f>VLOOKUP(A56,Table_0[#All],2,0)</f>
        <v>25.26</v>
      </c>
    </row>
    <row r="57" spans="1:2" x14ac:dyDescent="0.3">
      <c r="A57" s="5" t="s">
        <v>94</v>
      </c>
      <c r="B57" s="5">
        <f>VLOOKUP(A57,Table_0[#All],2,0)</f>
        <v>5300</v>
      </c>
    </row>
    <row r="58" spans="1:2" x14ac:dyDescent="0.3">
      <c r="A58" s="4" t="s">
        <v>95</v>
      </c>
      <c r="B58" s="4">
        <f>VLOOKUP(A58,Table_0[#All],2,0)</f>
        <v>86.5</v>
      </c>
    </row>
    <row r="59" spans="1:2" x14ac:dyDescent="0.3">
      <c r="A59" s="5" t="s">
        <v>28</v>
      </c>
      <c r="B59" s="5">
        <f>VLOOKUP(A59,Table_0[#All],2,0)</f>
        <v>23.16</v>
      </c>
    </row>
    <row r="60" spans="1:2" x14ac:dyDescent="0.3">
      <c r="A60" s="4" t="s">
        <v>4</v>
      </c>
      <c r="B60" s="4">
        <f>VLOOKUP(A60,Table_0[#All],2,0)</f>
        <v>22.04</v>
      </c>
    </row>
    <row r="61" spans="1:2" x14ac:dyDescent="0.3">
      <c r="A61" s="5" t="s">
        <v>96</v>
      </c>
      <c r="B61" s="5">
        <f>VLOOKUP(A61,Table_0[#All],2,0)</f>
        <v>97.95</v>
      </c>
    </row>
    <row r="62" spans="1:2" x14ac:dyDescent="0.3">
      <c r="A62" s="4" t="s">
        <v>97</v>
      </c>
      <c r="B62" s="4">
        <f>VLOOKUP(A62,Table_0[#All],2,0)</f>
        <v>26.2</v>
      </c>
    </row>
    <row r="63" spans="1:2" x14ac:dyDescent="0.3">
      <c r="A63" s="5" t="s">
        <v>98</v>
      </c>
      <c r="B63" s="5">
        <f>VLOOKUP(A63,Table_0[#All],2,0)</f>
        <v>33.94</v>
      </c>
    </row>
    <row r="64" spans="1:2" x14ac:dyDescent="0.3">
      <c r="A64" s="4" t="s">
        <v>99</v>
      </c>
      <c r="B64" s="4">
        <f>VLOOKUP(A64,Table_0[#All],2,0)</f>
        <v>30.58</v>
      </c>
    </row>
    <row r="65" spans="1:2" x14ac:dyDescent="0.3">
      <c r="A65" s="5" t="s">
        <v>100</v>
      </c>
      <c r="B65" s="5">
        <f>VLOOKUP(A65,Table_0[#All],2,0)</f>
        <v>477</v>
      </c>
    </row>
    <row r="66" spans="1:2" x14ac:dyDescent="0.3">
      <c r="A66" s="4" t="s">
        <v>101</v>
      </c>
      <c r="B66" s="4">
        <f>VLOOKUP(A66,Table_0[#All],2,0)</f>
        <v>30.84</v>
      </c>
    </row>
    <row r="67" spans="1:2" x14ac:dyDescent="0.3">
      <c r="A67" s="5" t="s">
        <v>102</v>
      </c>
      <c r="B67" s="5">
        <f>VLOOKUP(A67,Table_0[#All],2,0)</f>
        <v>315.25</v>
      </c>
    </row>
    <row r="68" spans="1:2" x14ac:dyDescent="0.3">
      <c r="A68" s="4" t="s">
        <v>103</v>
      </c>
      <c r="B68" s="4">
        <f>VLOOKUP(A68,Table_0[#All],2,0)</f>
        <v>49.44</v>
      </c>
    </row>
    <row r="69" spans="1:2" x14ac:dyDescent="0.3">
      <c r="A69" s="5" t="s">
        <v>104</v>
      </c>
      <c r="B69" s="5">
        <f>VLOOKUP(A69,Table_0[#All],2,0)</f>
        <v>4.6900000000000004</v>
      </c>
    </row>
    <row r="70" spans="1:2" x14ac:dyDescent="0.3">
      <c r="A70" s="4" t="s">
        <v>105</v>
      </c>
      <c r="B70" s="4">
        <f>VLOOKUP(A70,Table_0[#All],2,0)</f>
        <v>388</v>
      </c>
    </row>
    <row r="71" spans="1:2" x14ac:dyDescent="0.3">
      <c r="A71" s="5" t="s">
        <v>106</v>
      </c>
      <c r="B71" s="5">
        <f>VLOOKUP(A71,Table_0[#All],2,0)</f>
        <v>21</v>
      </c>
    </row>
    <row r="72" spans="1:2" x14ac:dyDescent="0.3">
      <c r="A72" s="4" t="s">
        <v>107</v>
      </c>
      <c r="B72" s="4">
        <f>VLOOKUP(A72,Table_0[#All],2,0)</f>
        <v>78.05</v>
      </c>
    </row>
    <row r="73" spans="1:2" x14ac:dyDescent="0.3">
      <c r="A73" s="5" t="s">
        <v>30</v>
      </c>
      <c r="B73" s="5">
        <f>VLOOKUP(A73,Table_0[#All],2,0)</f>
        <v>16.3</v>
      </c>
    </row>
    <row r="74" spans="1:2" x14ac:dyDescent="0.3">
      <c r="A74" s="4" t="s">
        <v>108</v>
      </c>
      <c r="B74" s="4">
        <f>VLOOKUP(A74,Table_0[#All],2,0)</f>
        <v>241.2</v>
      </c>
    </row>
    <row r="75" spans="1:2" x14ac:dyDescent="0.3">
      <c r="A75" s="5" t="s">
        <v>109</v>
      </c>
      <c r="B75" s="5">
        <f>VLOOKUP(A75,Table_0[#All],2,0)</f>
        <v>131.19999999999999</v>
      </c>
    </row>
    <row r="76" spans="1:2" x14ac:dyDescent="0.3">
      <c r="A76" s="4" t="s">
        <v>110</v>
      </c>
      <c r="B76" s="4">
        <f>VLOOKUP(A76,Table_0[#All],2,0)</f>
        <v>11.48</v>
      </c>
    </row>
    <row r="77" spans="1:2" x14ac:dyDescent="0.3">
      <c r="A77" s="5" t="s">
        <v>111</v>
      </c>
      <c r="B77" s="5">
        <f>VLOOKUP(A77,Table_0[#All],2,0)</f>
        <v>12.86</v>
      </c>
    </row>
    <row r="78" spans="1:2" x14ac:dyDescent="0.3">
      <c r="A78" s="4" t="s">
        <v>112</v>
      </c>
      <c r="B78" s="4">
        <f>VLOOKUP(A78,Table_0[#All],2,0)</f>
        <v>77.3</v>
      </c>
    </row>
    <row r="79" spans="1:2" x14ac:dyDescent="0.3">
      <c r="A79" s="5" t="s">
        <v>33</v>
      </c>
      <c r="B79" s="5">
        <f>VLOOKUP(A79,Table_0[#All],2,0)</f>
        <v>3.28</v>
      </c>
    </row>
    <row r="80" spans="1:2" x14ac:dyDescent="0.3">
      <c r="A80" s="4" t="s">
        <v>113</v>
      </c>
      <c r="B80" s="4">
        <f>VLOOKUP(A80,Table_0[#All],2,0)</f>
        <v>68.400000000000006</v>
      </c>
    </row>
    <row r="81" spans="1:2" x14ac:dyDescent="0.3">
      <c r="A81" s="5" t="s">
        <v>3</v>
      </c>
      <c r="B81" s="5">
        <f>VLOOKUP(A81,Table_0[#All],2,0)</f>
        <v>33</v>
      </c>
    </row>
    <row r="82" spans="1:2" x14ac:dyDescent="0.3">
      <c r="A82" s="4" t="s">
        <v>114</v>
      </c>
      <c r="B82" s="4">
        <f>VLOOKUP(A82,Table_0[#All],2,0)</f>
        <v>4.51</v>
      </c>
    </row>
    <row r="83" spans="1:2" x14ac:dyDescent="0.3">
      <c r="A83" s="5" t="s">
        <v>115</v>
      </c>
      <c r="B83" s="5">
        <f>VLOOKUP(A83,Table_0[#All],2,0)</f>
        <v>27.96</v>
      </c>
    </row>
    <row r="84" spans="1:2" x14ac:dyDescent="0.3">
      <c r="A84" s="4" t="s">
        <v>116</v>
      </c>
      <c r="B84" s="4">
        <f>VLOOKUP(A84,Table_0[#All],2,0)</f>
        <v>33.18</v>
      </c>
    </row>
    <row r="85" spans="1:2" x14ac:dyDescent="0.3">
      <c r="A85" s="5" t="s">
        <v>117</v>
      </c>
      <c r="B85" s="5">
        <f>VLOOKUP(A85,Table_0[#All],2,0)</f>
        <v>173</v>
      </c>
    </row>
    <row r="86" spans="1:2" x14ac:dyDescent="0.3">
      <c r="A86" s="4" t="s">
        <v>118</v>
      </c>
      <c r="B86" s="4">
        <f>VLOOKUP(A86,Table_0[#All],2,0)</f>
        <v>217.9</v>
      </c>
    </row>
    <row r="87" spans="1:2" x14ac:dyDescent="0.3">
      <c r="A87" s="5" t="s">
        <v>119</v>
      </c>
      <c r="B87" s="5">
        <f>VLOOKUP(A87,Table_0[#All],2,0)</f>
        <v>94.85</v>
      </c>
    </row>
    <row r="88" spans="1:2" x14ac:dyDescent="0.3">
      <c r="A88" s="4" t="s">
        <v>2</v>
      </c>
      <c r="B88" s="4">
        <f>VLOOKUP(A88,Table_0[#All],2,0)</f>
        <v>273.25</v>
      </c>
    </row>
    <row r="89" spans="1:2" x14ac:dyDescent="0.3">
      <c r="A89" s="5" t="s">
        <v>120</v>
      </c>
      <c r="B89" s="5">
        <f>VLOOKUP(A89,Table_0[#All],2,0)</f>
        <v>111</v>
      </c>
    </row>
    <row r="90" spans="1:2" x14ac:dyDescent="0.3">
      <c r="A90" s="4" t="s">
        <v>31</v>
      </c>
      <c r="B90" s="4">
        <f>VLOOKUP(A90,Table_0[#All],2,0)</f>
        <v>177</v>
      </c>
    </row>
    <row r="91" spans="1:2" x14ac:dyDescent="0.3">
      <c r="A91" s="5" t="s">
        <v>121</v>
      </c>
      <c r="B91" s="5">
        <f>VLOOKUP(A91,Table_0[#All],2,0)</f>
        <v>10.9</v>
      </c>
    </row>
    <row r="92" spans="1:2" x14ac:dyDescent="0.3">
      <c r="A92" s="4" t="s">
        <v>122</v>
      </c>
      <c r="B92" s="4">
        <f>VLOOKUP(A92,Table_0[#All],2,0)</f>
        <v>55.15</v>
      </c>
    </row>
    <row r="93" spans="1:2" x14ac:dyDescent="0.3">
      <c r="A93" s="5" t="s">
        <v>123</v>
      </c>
      <c r="B93" s="5">
        <f>VLOOKUP(A93,Table_0[#All],2,0)</f>
        <v>559</v>
      </c>
    </row>
    <row r="94" spans="1:2" x14ac:dyDescent="0.3">
      <c r="A94" s="4" t="s">
        <v>25</v>
      </c>
      <c r="B94" s="4">
        <f>VLOOKUP(A94,Table_0[#All],2,0)</f>
        <v>124</v>
      </c>
    </row>
    <row r="95" spans="1:2" x14ac:dyDescent="0.3">
      <c r="A95" s="5" t="s">
        <v>124</v>
      </c>
      <c r="B95" s="5">
        <f>VLOOKUP(A95,Table_0[#All],2,0)</f>
        <v>16.5</v>
      </c>
    </row>
    <row r="96" spans="1:2" x14ac:dyDescent="0.3">
      <c r="A96" s="4" t="s">
        <v>125</v>
      </c>
      <c r="B96" s="4">
        <f>VLOOKUP(A96,Table_0[#All],2,0)</f>
        <v>105.6</v>
      </c>
    </row>
    <row r="97" spans="1:2" x14ac:dyDescent="0.3">
      <c r="A97" s="5" t="s">
        <v>34</v>
      </c>
      <c r="B97" s="5">
        <f>VLOOKUP(A97,Table_0[#All],2,0)</f>
        <v>22.54</v>
      </c>
    </row>
    <row r="98" spans="1:2" x14ac:dyDescent="0.3">
      <c r="A98" s="4" t="s">
        <v>126</v>
      </c>
      <c r="B98" s="4">
        <f>VLOOKUP(A98,Table_0[#All],2,0)</f>
        <v>33.119999999999997</v>
      </c>
    </row>
    <row r="99" spans="1:2" x14ac:dyDescent="0.3">
      <c r="A99" s="5" t="s">
        <v>127</v>
      </c>
      <c r="B99" s="5">
        <f>VLOOKUP(A99,Table_0[#All],2,0)</f>
        <v>40.020000000000003</v>
      </c>
    </row>
    <row r="100" spans="1:2" x14ac:dyDescent="0.3">
      <c r="A100" s="4" t="s">
        <v>26</v>
      </c>
      <c r="B100" s="4">
        <f>VLOOKUP(A100,Table_0[#All],2,0)</f>
        <v>25.46</v>
      </c>
    </row>
    <row r="101" spans="1:2" x14ac:dyDescent="0.3">
      <c r="A101" s="5" t="s">
        <v>128</v>
      </c>
      <c r="B101" s="5">
        <f>VLOOKUP(A101,Table_0[#All],2,0)</f>
        <v>2.99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H79"/>
  <sheetViews>
    <sheetView workbookViewId="0">
      <selection activeCell="E7" sqref="E7"/>
    </sheetView>
  </sheetViews>
  <sheetFormatPr defaultRowHeight="14.4" x14ac:dyDescent="0.3"/>
  <cols>
    <col min="1" max="1" width="22" customWidth="1"/>
    <col min="2" max="2" width="21.5546875" customWidth="1"/>
    <col min="3" max="3" width="8.5546875" bestFit="1" customWidth="1"/>
    <col min="4" max="4" width="10.88671875" bestFit="1" customWidth="1"/>
    <col min="5" max="5" width="12.33203125" bestFit="1" customWidth="1"/>
    <col min="6" max="6" width="11.6640625" bestFit="1" customWidth="1"/>
    <col min="7" max="7" width="12.88671875" bestFit="1" customWidth="1"/>
    <col min="8" max="8" width="11" bestFit="1" customWidth="1"/>
  </cols>
  <sheetData>
    <row r="1" spans="1:8" x14ac:dyDescent="0.3">
      <c r="A1" s="23" t="s">
        <v>12</v>
      </c>
      <c r="B1" s="24">
        <v>0</v>
      </c>
      <c r="G1" t="s">
        <v>144</v>
      </c>
      <c r="H1" s="1">
        <v>10000</v>
      </c>
    </row>
    <row r="2" spans="1:8" x14ac:dyDescent="0.3">
      <c r="A2" s="23" t="s">
        <v>13</v>
      </c>
      <c r="B2" s="25">
        <v>0</v>
      </c>
      <c r="C2" s="1"/>
      <c r="D2" s="1"/>
      <c r="E2" s="1">
        <v>0</v>
      </c>
      <c r="F2" s="1"/>
      <c r="H2" s="7"/>
    </row>
    <row r="3" spans="1:8" x14ac:dyDescent="0.3">
      <c r="A3" s="23" t="s">
        <v>14</v>
      </c>
      <c r="B3" s="25">
        <v>0</v>
      </c>
      <c r="C3" s="1"/>
      <c r="D3" s="1"/>
      <c r="E3" s="1">
        <v>0</v>
      </c>
      <c r="F3" s="1"/>
    </row>
    <row r="4" spans="1:8" x14ac:dyDescent="0.3">
      <c r="A4" s="23" t="s">
        <v>15</v>
      </c>
      <c r="B4" s="26"/>
      <c r="E4">
        <v>0</v>
      </c>
    </row>
    <row r="5" spans="1:8" x14ac:dyDescent="0.3">
      <c r="B5" s="2"/>
      <c r="C5" s="1"/>
      <c r="D5" s="1"/>
      <c r="E5" s="1">
        <v>0</v>
      </c>
    </row>
    <row r="6" spans="1:8" x14ac:dyDescent="0.3">
      <c r="A6" s="22" t="s">
        <v>16</v>
      </c>
      <c r="B6" s="22" t="s">
        <v>17</v>
      </c>
      <c r="C6" s="22" t="s">
        <v>18</v>
      </c>
      <c r="D6" s="22" t="s">
        <v>0</v>
      </c>
      <c r="E6" s="22" t="s">
        <v>19</v>
      </c>
      <c r="F6" s="22" t="s">
        <v>20</v>
      </c>
      <c r="G6" s="22" t="s">
        <v>21</v>
      </c>
    </row>
    <row r="7" spans="1:8" x14ac:dyDescent="0.3">
      <c r="A7" s="20"/>
      <c r="B7" s="20"/>
      <c r="C7" s="21"/>
      <c r="D7" s="21"/>
      <c r="E7" s="21"/>
      <c r="F7" s="21"/>
      <c r="G7" s="20"/>
    </row>
    <row r="8" spans="1:8" x14ac:dyDescent="0.3">
      <c r="A8" s="20"/>
      <c r="B8" s="20"/>
      <c r="C8" s="21"/>
      <c r="D8" s="21"/>
      <c r="E8" s="21"/>
      <c r="F8" s="21"/>
      <c r="G8" s="20"/>
    </row>
    <row r="9" spans="1:8" x14ac:dyDescent="0.3">
      <c r="A9" s="20"/>
      <c r="B9" s="20"/>
      <c r="C9" s="21"/>
      <c r="D9" s="21"/>
      <c r="E9" s="21"/>
      <c r="F9" s="21"/>
      <c r="G9" s="20"/>
    </row>
    <row r="10" spans="1:8" x14ac:dyDescent="0.3">
      <c r="A10" s="20"/>
      <c r="B10" s="20"/>
      <c r="C10" s="21"/>
      <c r="D10" s="21"/>
      <c r="E10" s="21"/>
      <c r="F10" s="21"/>
      <c r="G10" s="20"/>
    </row>
    <row r="11" spans="1:8" x14ac:dyDescent="0.3">
      <c r="A11" s="20"/>
      <c r="B11" s="20"/>
      <c r="C11" s="20"/>
      <c r="D11" s="20"/>
      <c r="E11" s="20"/>
      <c r="F11" s="20"/>
      <c r="G11" s="20"/>
    </row>
    <row r="12" spans="1:8" x14ac:dyDescent="0.3">
      <c r="A12" s="20"/>
      <c r="B12" s="20"/>
      <c r="C12" s="20"/>
      <c r="D12" s="20"/>
      <c r="E12" s="20"/>
      <c r="F12" s="20"/>
      <c r="G12" s="20"/>
    </row>
    <row r="13" spans="1:8" x14ac:dyDescent="0.3">
      <c r="A13" s="20"/>
      <c r="B13" s="20"/>
      <c r="C13" s="20"/>
      <c r="D13" s="20"/>
      <c r="E13" s="20"/>
      <c r="F13" s="20"/>
      <c r="G13" s="20"/>
    </row>
    <row r="14" spans="1:8" x14ac:dyDescent="0.3">
      <c r="A14" s="20"/>
      <c r="B14" s="20"/>
      <c r="C14" s="20"/>
      <c r="D14" s="20"/>
      <c r="E14" s="20"/>
      <c r="F14" s="20"/>
      <c r="G14" s="20"/>
    </row>
    <row r="15" spans="1:8" x14ac:dyDescent="0.3">
      <c r="A15" s="20"/>
      <c r="B15" s="20"/>
      <c r="C15" s="20"/>
      <c r="D15" s="20"/>
      <c r="E15" s="20"/>
      <c r="F15" s="20"/>
      <c r="G15" s="20"/>
    </row>
    <row r="16" spans="1:8" x14ac:dyDescent="0.3">
      <c r="A16" s="20"/>
      <c r="B16" s="20"/>
      <c r="C16" s="20"/>
      <c r="D16" s="20"/>
      <c r="E16" s="20"/>
      <c r="F16" s="20"/>
      <c r="G16" s="20"/>
    </row>
    <row r="17" spans="1:7" x14ac:dyDescent="0.3">
      <c r="A17" s="20"/>
      <c r="B17" s="20"/>
      <c r="C17" s="20"/>
      <c r="D17" s="20"/>
      <c r="E17" s="20"/>
      <c r="F17" s="20"/>
      <c r="G17" s="20"/>
    </row>
    <row r="18" spans="1:7" x14ac:dyDescent="0.3">
      <c r="A18" s="20"/>
      <c r="B18" s="20"/>
      <c r="C18" s="20"/>
      <c r="D18" s="20"/>
      <c r="E18" s="20"/>
      <c r="F18" s="20"/>
      <c r="G18" s="20"/>
    </row>
    <row r="19" spans="1:7" x14ac:dyDescent="0.3">
      <c r="A19" s="20"/>
      <c r="B19" s="20"/>
      <c r="C19" s="20"/>
      <c r="D19" s="20"/>
      <c r="E19" s="20"/>
      <c r="F19" s="20"/>
      <c r="G19" s="20"/>
    </row>
    <row r="20" spans="1:7" x14ac:dyDescent="0.3">
      <c r="A20" s="20"/>
      <c r="B20" s="20"/>
      <c r="C20" s="20"/>
      <c r="D20" s="20"/>
      <c r="E20" s="20"/>
      <c r="F20" s="20"/>
      <c r="G20" s="20"/>
    </row>
    <row r="21" spans="1:7" x14ac:dyDescent="0.3">
      <c r="A21" s="20"/>
      <c r="B21" s="20"/>
      <c r="C21" s="20"/>
      <c r="D21" s="20"/>
      <c r="E21" s="20"/>
      <c r="F21" s="20"/>
      <c r="G21" s="20"/>
    </row>
    <row r="22" spans="1:7" x14ac:dyDescent="0.3">
      <c r="A22" s="20"/>
      <c r="B22" s="20"/>
      <c r="C22" s="20"/>
      <c r="D22" s="20"/>
      <c r="E22" s="20"/>
      <c r="F22" s="20"/>
      <c r="G22" s="20"/>
    </row>
    <row r="23" spans="1:7" x14ac:dyDescent="0.3">
      <c r="A23" s="20"/>
      <c r="B23" s="20"/>
      <c r="C23" s="20"/>
      <c r="D23" s="20"/>
      <c r="E23" s="20"/>
      <c r="F23" s="20"/>
      <c r="G23" s="20"/>
    </row>
    <row r="24" spans="1:7" x14ac:dyDescent="0.3">
      <c r="A24" s="20"/>
      <c r="B24" s="20"/>
      <c r="C24" s="20"/>
      <c r="D24" s="20"/>
      <c r="E24" s="20"/>
      <c r="F24" s="20"/>
      <c r="G24" s="20"/>
    </row>
    <row r="25" spans="1:7" x14ac:dyDescent="0.3">
      <c r="A25" s="20"/>
      <c r="B25" s="20"/>
      <c r="C25" s="20"/>
      <c r="D25" s="20"/>
      <c r="E25" s="20"/>
      <c r="F25" s="20"/>
      <c r="G25" s="20"/>
    </row>
    <row r="26" spans="1:7" x14ac:dyDescent="0.3">
      <c r="A26" s="20"/>
      <c r="B26" s="20"/>
      <c r="C26" s="20"/>
      <c r="D26" s="20"/>
      <c r="E26" s="20"/>
      <c r="F26" s="20"/>
      <c r="G26" s="20"/>
    </row>
    <row r="27" spans="1:7" x14ac:dyDescent="0.3">
      <c r="A27" s="20"/>
      <c r="B27" s="20"/>
      <c r="C27" s="20"/>
      <c r="D27" s="20"/>
      <c r="E27" s="20"/>
      <c r="F27" s="20"/>
      <c r="G27" s="20"/>
    </row>
    <row r="28" spans="1:7" x14ac:dyDescent="0.3">
      <c r="A28" s="20"/>
      <c r="B28" s="20"/>
      <c r="C28" s="20"/>
      <c r="D28" s="20"/>
      <c r="E28" s="20"/>
      <c r="F28" s="20"/>
      <c r="G28" s="20"/>
    </row>
    <row r="29" spans="1:7" x14ac:dyDescent="0.3">
      <c r="A29" s="20"/>
      <c r="B29" s="20"/>
      <c r="C29" s="20"/>
      <c r="D29" s="20"/>
      <c r="E29" s="20"/>
      <c r="F29" s="20"/>
      <c r="G29" s="20"/>
    </row>
    <row r="30" spans="1:7" x14ac:dyDescent="0.3">
      <c r="A30" s="20"/>
      <c r="B30" s="20"/>
      <c r="C30" s="20"/>
      <c r="D30" s="20"/>
      <c r="E30" s="20"/>
      <c r="F30" s="20"/>
      <c r="G30" s="20"/>
    </row>
    <row r="31" spans="1:7" x14ac:dyDescent="0.3">
      <c r="A31" s="20"/>
      <c r="B31" s="20"/>
      <c r="C31" s="20"/>
      <c r="D31" s="20"/>
      <c r="E31" s="20"/>
      <c r="F31" s="20"/>
      <c r="G31" s="20"/>
    </row>
    <row r="32" spans="1:7" x14ac:dyDescent="0.3">
      <c r="A32" s="20"/>
      <c r="B32" s="20"/>
      <c r="C32" s="20"/>
      <c r="D32" s="20"/>
      <c r="E32" s="20"/>
      <c r="F32" s="20"/>
      <c r="G32" s="20"/>
    </row>
    <row r="33" spans="1:7" x14ac:dyDescent="0.3">
      <c r="A33" s="20"/>
      <c r="B33" s="20"/>
      <c r="C33" s="20"/>
      <c r="D33" s="20"/>
      <c r="E33" s="20"/>
      <c r="F33" s="20"/>
      <c r="G33" s="20"/>
    </row>
    <row r="34" spans="1:7" x14ac:dyDescent="0.3">
      <c r="A34" s="20"/>
      <c r="B34" s="20"/>
      <c r="C34" s="20"/>
      <c r="D34" s="20"/>
      <c r="E34" s="20"/>
      <c r="F34" s="20"/>
      <c r="G34" s="20"/>
    </row>
    <row r="35" spans="1:7" x14ac:dyDescent="0.3">
      <c r="A35" s="20"/>
      <c r="B35" s="20"/>
      <c r="C35" s="20"/>
      <c r="D35" s="20"/>
      <c r="E35" s="20"/>
      <c r="F35" s="20"/>
      <c r="G35" s="20"/>
    </row>
    <row r="36" spans="1:7" x14ac:dyDescent="0.3">
      <c r="A36" s="20"/>
      <c r="B36" s="20"/>
      <c r="C36" s="20"/>
      <c r="D36" s="20"/>
      <c r="E36" s="20"/>
      <c r="F36" s="20"/>
      <c r="G36" s="20"/>
    </row>
    <row r="37" spans="1:7" x14ac:dyDescent="0.3">
      <c r="A37" s="20"/>
      <c r="B37" s="20"/>
      <c r="C37" s="20"/>
      <c r="D37" s="20"/>
      <c r="E37" s="20"/>
      <c r="F37" s="20"/>
      <c r="G37" s="20"/>
    </row>
    <row r="38" spans="1:7" x14ac:dyDescent="0.3">
      <c r="A38" s="20"/>
      <c r="B38" s="20"/>
      <c r="C38" s="20"/>
      <c r="D38" s="20"/>
      <c r="E38" s="20"/>
      <c r="F38" s="20"/>
      <c r="G38" s="20"/>
    </row>
    <row r="39" spans="1:7" x14ac:dyDescent="0.3">
      <c r="A39" s="20"/>
      <c r="B39" s="20"/>
      <c r="C39" s="20"/>
      <c r="D39" s="20"/>
      <c r="E39" s="20"/>
      <c r="F39" s="20"/>
      <c r="G39" s="20"/>
    </row>
    <row r="40" spans="1:7" x14ac:dyDescent="0.3">
      <c r="A40" s="20"/>
      <c r="B40" s="20"/>
      <c r="C40" s="20"/>
      <c r="D40" s="20"/>
      <c r="E40" s="20"/>
      <c r="F40" s="20"/>
      <c r="G40" s="20"/>
    </row>
    <row r="41" spans="1:7" x14ac:dyDescent="0.3">
      <c r="A41" s="20"/>
      <c r="B41" s="20"/>
      <c r="C41" s="20"/>
      <c r="D41" s="20"/>
      <c r="E41" s="20"/>
      <c r="F41" s="20"/>
      <c r="G41" s="20"/>
    </row>
    <row r="42" spans="1:7" x14ac:dyDescent="0.3">
      <c r="A42" s="20"/>
      <c r="B42" s="20"/>
      <c r="C42" s="20"/>
      <c r="D42" s="20"/>
      <c r="E42" s="20"/>
      <c r="F42" s="20"/>
      <c r="G42" s="20"/>
    </row>
    <row r="43" spans="1:7" x14ac:dyDescent="0.3">
      <c r="A43" s="20"/>
      <c r="B43" s="20"/>
      <c r="C43" s="20"/>
      <c r="D43" s="20"/>
      <c r="E43" s="20"/>
      <c r="F43" s="20"/>
      <c r="G43" s="20"/>
    </row>
    <row r="44" spans="1:7" x14ac:dyDescent="0.3">
      <c r="A44" s="20"/>
      <c r="B44" s="20"/>
      <c r="C44" s="20"/>
      <c r="D44" s="20"/>
      <c r="E44" s="20"/>
      <c r="F44" s="20"/>
      <c r="G44" s="20"/>
    </row>
    <row r="45" spans="1:7" x14ac:dyDescent="0.3">
      <c r="A45" s="20"/>
      <c r="B45" s="20"/>
      <c r="C45" s="20"/>
      <c r="D45" s="20"/>
      <c r="E45" s="20"/>
      <c r="F45" s="20"/>
      <c r="G45" s="20"/>
    </row>
    <row r="46" spans="1:7" x14ac:dyDescent="0.3">
      <c r="A46" s="20"/>
      <c r="B46" s="20"/>
      <c r="C46" s="20"/>
      <c r="D46" s="20"/>
      <c r="E46" s="20"/>
      <c r="F46" s="20"/>
      <c r="G46" s="20"/>
    </row>
    <row r="47" spans="1:7" x14ac:dyDescent="0.3">
      <c r="A47" s="20"/>
      <c r="B47" s="20"/>
      <c r="C47" s="20"/>
      <c r="D47" s="20"/>
      <c r="E47" s="20"/>
      <c r="F47" s="20"/>
      <c r="G47" s="20"/>
    </row>
    <row r="48" spans="1:7" x14ac:dyDescent="0.3">
      <c r="A48" s="20"/>
      <c r="B48" s="20"/>
      <c r="C48" s="20"/>
      <c r="D48" s="20"/>
      <c r="E48" s="20"/>
      <c r="F48" s="20"/>
      <c r="G48" s="20"/>
    </row>
    <row r="49" spans="1:7" x14ac:dyDescent="0.3">
      <c r="A49" s="20"/>
      <c r="B49" s="20"/>
      <c r="C49" s="20"/>
      <c r="D49" s="20"/>
      <c r="E49" s="20"/>
      <c r="F49" s="20"/>
      <c r="G49" s="20"/>
    </row>
    <row r="50" spans="1:7" x14ac:dyDescent="0.3">
      <c r="A50" s="20"/>
      <c r="B50" s="20"/>
      <c r="C50" s="20"/>
      <c r="D50" s="20"/>
      <c r="E50" s="20"/>
      <c r="F50" s="20"/>
      <c r="G50" s="20"/>
    </row>
    <row r="51" spans="1:7" x14ac:dyDescent="0.3">
      <c r="A51" s="20"/>
      <c r="B51" s="20"/>
      <c r="C51" s="20"/>
      <c r="D51" s="20"/>
      <c r="E51" s="20"/>
      <c r="F51" s="20"/>
      <c r="G51" s="20"/>
    </row>
    <row r="52" spans="1:7" x14ac:dyDescent="0.3">
      <c r="A52" s="20"/>
      <c r="B52" s="20"/>
      <c r="C52" s="20"/>
      <c r="D52" s="20"/>
      <c r="E52" s="20"/>
      <c r="F52" s="20"/>
      <c r="G52" s="20"/>
    </row>
    <row r="53" spans="1:7" x14ac:dyDescent="0.3">
      <c r="A53" s="20"/>
      <c r="B53" s="20"/>
      <c r="C53" s="20"/>
      <c r="D53" s="20"/>
      <c r="E53" s="20"/>
      <c r="F53" s="20"/>
      <c r="G53" s="20"/>
    </row>
    <row r="54" spans="1:7" x14ac:dyDescent="0.3">
      <c r="A54" s="20"/>
      <c r="B54" s="20"/>
      <c r="C54" s="20"/>
      <c r="D54" s="20"/>
      <c r="E54" s="20"/>
      <c r="F54" s="20"/>
      <c r="G54" s="20"/>
    </row>
    <row r="55" spans="1:7" x14ac:dyDescent="0.3">
      <c r="A55" s="20"/>
      <c r="B55" s="20"/>
      <c r="C55" s="20"/>
      <c r="D55" s="20"/>
      <c r="E55" s="20"/>
      <c r="F55" s="20"/>
      <c r="G55" s="20"/>
    </row>
    <row r="56" spans="1:7" x14ac:dyDescent="0.3">
      <c r="A56" s="20"/>
      <c r="B56" s="20"/>
      <c r="C56" s="20"/>
      <c r="D56" s="20"/>
      <c r="E56" s="20"/>
      <c r="F56" s="20"/>
      <c r="G56" s="20"/>
    </row>
    <row r="57" spans="1:7" x14ac:dyDescent="0.3">
      <c r="A57" s="20"/>
      <c r="B57" s="20"/>
      <c r="C57" s="20"/>
      <c r="D57" s="20"/>
      <c r="E57" s="20"/>
      <c r="F57" s="20"/>
      <c r="G57" s="20"/>
    </row>
    <row r="58" spans="1:7" x14ac:dyDescent="0.3">
      <c r="A58" s="20"/>
      <c r="B58" s="20"/>
      <c r="C58" s="20"/>
      <c r="D58" s="20"/>
      <c r="E58" s="20"/>
      <c r="F58" s="20"/>
      <c r="G58" s="20"/>
    </row>
    <row r="59" spans="1:7" x14ac:dyDescent="0.3">
      <c r="A59" s="20"/>
      <c r="B59" s="20"/>
      <c r="C59" s="20"/>
      <c r="D59" s="20"/>
      <c r="E59" s="20"/>
      <c r="F59" s="20"/>
      <c r="G59" s="20"/>
    </row>
    <row r="60" spans="1:7" x14ac:dyDescent="0.3">
      <c r="A60" s="20"/>
      <c r="B60" s="20"/>
      <c r="C60" s="20"/>
      <c r="D60" s="20"/>
      <c r="E60" s="20"/>
      <c r="F60" s="20"/>
      <c r="G60" s="20"/>
    </row>
    <row r="61" spans="1:7" x14ac:dyDescent="0.3">
      <c r="A61" s="20"/>
      <c r="B61" s="20"/>
      <c r="C61" s="20"/>
      <c r="D61" s="20"/>
      <c r="E61" s="20"/>
      <c r="F61" s="20"/>
      <c r="G61" s="20"/>
    </row>
    <row r="62" spans="1:7" x14ac:dyDescent="0.3">
      <c r="A62" s="20"/>
      <c r="B62" s="20"/>
      <c r="C62" s="20"/>
      <c r="D62" s="20"/>
      <c r="E62" s="20"/>
      <c r="F62" s="20"/>
      <c r="G62" s="20"/>
    </row>
    <row r="63" spans="1:7" x14ac:dyDescent="0.3">
      <c r="A63" s="20"/>
      <c r="B63" s="20"/>
      <c r="C63" s="20"/>
      <c r="D63" s="20"/>
      <c r="E63" s="20"/>
      <c r="F63" s="20"/>
      <c r="G63" s="20"/>
    </row>
    <row r="64" spans="1:7" x14ac:dyDescent="0.3">
      <c r="A64" s="20"/>
      <c r="B64" s="20"/>
      <c r="C64" s="20"/>
      <c r="D64" s="20"/>
      <c r="E64" s="20"/>
      <c r="F64" s="20"/>
      <c r="G64" s="20"/>
    </row>
    <row r="65" spans="1:7" x14ac:dyDescent="0.3">
      <c r="A65" s="20"/>
      <c r="B65" s="20"/>
      <c r="C65" s="20"/>
      <c r="D65" s="20"/>
      <c r="E65" s="20"/>
      <c r="F65" s="20"/>
      <c r="G65" s="20"/>
    </row>
    <row r="66" spans="1:7" x14ac:dyDescent="0.3">
      <c r="A66" s="20"/>
      <c r="B66" s="20"/>
      <c r="C66" s="20"/>
      <c r="D66" s="20"/>
      <c r="E66" s="20"/>
      <c r="F66" s="20"/>
      <c r="G66" s="20"/>
    </row>
    <row r="67" spans="1:7" x14ac:dyDescent="0.3">
      <c r="A67" s="20"/>
      <c r="B67" s="20"/>
      <c r="C67" s="20"/>
      <c r="D67" s="20"/>
      <c r="E67" s="20"/>
      <c r="F67" s="20"/>
      <c r="G67" s="20"/>
    </row>
    <row r="68" spans="1:7" x14ac:dyDescent="0.3">
      <c r="A68" s="20"/>
      <c r="B68" s="20"/>
      <c r="C68" s="20"/>
      <c r="D68" s="20"/>
      <c r="E68" s="20"/>
      <c r="F68" s="20"/>
      <c r="G68" s="20"/>
    </row>
    <row r="69" spans="1:7" x14ac:dyDescent="0.3">
      <c r="A69" s="20"/>
      <c r="B69" s="20"/>
      <c r="C69" s="20"/>
      <c r="D69" s="20"/>
      <c r="E69" s="20"/>
      <c r="F69" s="20"/>
      <c r="G69" s="20"/>
    </row>
    <row r="70" spans="1:7" x14ac:dyDescent="0.3">
      <c r="A70" s="20"/>
      <c r="B70" s="20"/>
      <c r="C70" s="20"/>
      <c r="D70" s="20"/>
      <c r="E70" s="20"/>
      <c r="F70" s="20"/>
      <c r="G70" s="20"/>
    </row>
    <row r="71" spans="1:7" x14ac:dyDescent="0.3">
      <c r="A71" s="20"/>
      <c r="B71" s="20"/>
      <c r="C71" s="20"/>
      <c r="D71" s="20"/>
      <c r="E71" s="20"/>
      <c r="F71" s="20"/>
      <c r="G71" s="20"/>
    </row>
    <row r="72" spans="1:7" x14ac:dyDescent="0.3">
      <c r="A72" s="20"/>
      <c r="B72" s="20"/>
      <c r="C72" s="20"/>
      <c r="D72" s="20"/>
      <c r="E72" s="20"/>
      <c r="F72" s="20"/>
      <c r="G72" s="20"/>
    </row>
    <row r="73" spans="1:7" x14ac:dyDescent="0.3">
      <c r="A73" s="20"/>
      <c r="B73" s="20"/>
      <c r="C73" s="20"/>
      <c r="D73" s="20"/>
      <c r="E73" s="20"/>
      <c r="F73" s="20"/>
      <c r="G73" s="20"/>
    </row>
    <row r="74" spans="1:7" x14ac:dyDescent="0.3">
      <c r="A74" s="20"/>
      <c r="B74" s="20"/>
      <c r="C74" s="20"/>
      <c r="D74" s="20"/>
      <c r="E74" s="20"/>
      <c r="F74" s="20"/>
      <c r="G74" s="20"/>
    </row>
    <row r="75" spans="1:7" x14ac:dyDescent="0.3">
      <c r="A75" s="20"/>
      <c r="B75" s="20"/>
      <c r="C75" s="20"/>
      <c r="D75" s="20"/>
      <c r="E75" s="20"/>
      <c r="F75" s="20"/>
      <c r="G75" s="20"/>
    </row>
    <row r="76" spans="1:7" x14ac:dyDescent="0.3">
      <c r="A76" s="20"/>
      <c r="B76" s="20"/>
      <c r="C76" s="20"/>
      <c r="D76" s="20"/>
      <c r="E76" s="20"/>
      <c r="F76" s="20"/>
      <c r="G76" s="20"/>
    </row>
    <row r="77" spans="1:7" x14ac:dyDescent="0.3">
      <c r="A77" s="20"/>
      <c r="B77" s="20"/>
      <c r="C77" s="20"/>
      <c r="D77" s="20"/>
      <c r="E77" s="20"/>
      <c r="F77" s="20"/>
      <c r="G77" s="20"/>
    </row>
    <row r="78" spans="1:7" x14ac:dyDescent="0.3">
      <c r="A78" s="20"/>
      <c r="B78" s="20"/>
      <c r="C78" s="20"/>
      <c r="D78" s="20"/>
      <c r="E78" s="20"/>
      <c r="F78" s="20"/>
      <c r="G78" s="20"/>
    </row>
    <row r="79" spans="1:7" x14ac:dyDescent="0.3">
      <c r="A79" s="20"/>
      <c r="B79" s="20"/>
      <c r="C79" s="20"/>
      <c r="D79" s="20"/>
      <c r="E79" s="20"/>
      <c r="F79" s="20"/>
      <c r="G79" s="2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G10"/>
  <sheetViews>
    <sheetView workbookViewId="0">
      <selection activeCell="G2" sqref="G2"/>
    </sheetView>
  </sheetViews>
  <sheetFormatPr defaultRowHeight="14.4" x14ac:dyDescent="0.3"/>
  <cols>
    <col min="1" max="1" width="15.21875" style="20" bestFit="1" customWidth="1"/>
    <col min="2" max="3" width="8.88671875" style="20"/>
    <col min="4" max="4" width="4.6640625" style="20" bestFit="1" customWidth="1"/>
    <col min="5" max="5" width="7.44140625" style="20" bestFit="1" customWidth="1"/>
    <col min="6" max="6" width="10" style="20" bestFit="1" customWidth="1"/>
    <col min="7" max="7" width="11" style="20" bestFit="1" customWidth="1"/>
  </cols>
  <sheetData>
    <row r="1" spans="1:7" x14ac:dyDescent="0.3">
      <c r="A1" s="29" t="s">
        <v>7</v>
      </c>
      <c r="B1" s="29" t="s">
        <v>8</v>
      </c>
      <c r="C1" s="29" t="s">
        <v>5</v>
      </c>
      <c r="D1" s="29" t="s">
        <v>6</v>
      </c>
      <c r="E1" s="29" t="s">
        <v>9</v>
      </c>
      <c r="F1" s="29" t="s">
        <v>10</v>
      </c>
      <c r="G1" s="29" t="s">
        <v>11</v>
      </c>
    </row>
    <row r="2" spans="1:7" x14ac:dyDescent="0.3">
      <c r="A2" s="28"/>
      <c r="E2" s="21"/>
      <c r="F2" s="21"/>
      <c r="G2" s="21">
        <v>10000</v>
      </c>
    </row>
    <row r="3" spans="1:7" x14ac:dyDescent="0.3">
      <c r="A3" s="28"/>
      <c r="E3" s="21"/>
      <c r="F3" s="21"/>
      <c r="G3" s="21"/>
    </row>
    <row r="4" spans="1:7" x14ac:dyDescent="0.3">
      <c r="A4" s="28"/>
      <c r="E4" s="21"/>
      <c r="F4" s="21"/>
      <c r="G4" s="21"/>
    </row>
    <row r="5" spans="1:7" x14ac:dyDescent="0.3">
      <c r="A5" s="28"/>
      <c r="E5" s="21"/>
      <c r="F5" s="21"/>
      <c r="G5" s="21"/>
    </row>
    <row r="6" spans="1:7" x14ac:dyDescent="0.3">
      <c r="A6" s="28"/>
      <c r="E6" s="21"/>
      <c r="F6" s="21"/>
      <c r="G6" s="21"/>
    </row>
    <row r="7" spans="1:7" x14ac:dyDescent="0.3">
      <c r="A7" s="28"/>
      <c r="E7" s="21"/>
      <c r="F7" s="21"/>
      <c r="G7" s="21"/>
    </row>
    <row r="8" spans="1:7" x14ac:dyDescent="0.3">
      <c r="A8" s="28"/>
      <c r="E8" s="21"/>
      <c r="F8" s="21"/>
      <c r="G8" s="21"/>
    </row>
    <row r="9" spans="1:7" x14ac:dyDescent="0.3">
      <c r="A9" s="28"/>
      <c r="E9" s="21"/>
      <c r="F9" s="21"/>
      <c r="G9" s="21"/>
    </row>
    <row r="10" spans="1:7" x14ac:dyDescent="0.3">
      <c r="A10" s="28"/>
      <c r="E10" s="21"/>
      <c r="F10" s="21"/>
      <c r="G10" s="21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J101"/>
  <sheetViews>
    <sheetView showGridLines="0" workbookViewId="0">
      <selection sqref="A1:J101"/>
    </sheetView>
  </sheetViews>
  <sheetFormatPr defaultRowHeight="14.4" x14ac:dyDescent="0.3"/>
  <cols>
    <col min="1" max="1" width="7.44140625" style="41" bestFit="1" customWidth="1"/>
    <col min="2" max="2" width="7" customWidth="1"/>
    <col min="3" max="3" width="8" customWidth="1"/>
    <col min="4" max="4" width="7.109375" bestFit="1" customWidth="1"/>
    <col min="5" max="5" width="7.6640625" style="20" customWidth="1"/>
    <col min="6" max="6" width="11" bestFit="1" customWidth="1"/>
    <col min="7" max="7" width="11.6640625" bestFit="1" customWidth="1"/>
    <col min="8" max="8" width="8" customWidth="1"/>
    <col min="9" max="9" width="11" customWidth="1"/>
    <col min="10" max="10" width="11.5546875" bestFit="1" customWidth="1"/>
  </cols>
  <sheetData>
    <row r="1" spans="1:10" x14ac:dyDescent="0.3">
      <c r="A1" s="40" t="s">
        <v>16</v>
      </c>
      <c r="B1" s="3" t="s">
        <v>40</v>
      </c>
      <c r="C1" s="3" t="s">
        <v>41</v>
      </c>
      <c r="D1" s="3" t="s">
        <v>42</v>
      </c>
      <c r="E1" s="31" t="s">
        <v>43</v>
      </c>
      <c r="F1" s="3" t="s">
        <v>44</v>
      </c>
      <c r="G1" s="3" t="s">
        <v>45</v>
      </c>
      <c r="H1" s="3" t="s">
        <v>46</v>
      </c>
      <c r="I1" s="3" t="s">
        <v>47</v>
      </c>
      <c r="J1" s="3" t="s">
        <v>48</v>
      </c>
    </row>
    <row r="2" spans="1:10" x14ac:dyDescent="0.3">
      <c r="A2" s="39" t="s">
        <v>49</v>
      </c>
      <c r="B2" s="3">
        <v>139.30000000000001</v>
      </c>
      <c r="C2" s="3" t="s">
        <v>163</v>
      </c>
      <c r="D2" s="3">
        <v>139.5</v>
      </c>
      <c r="E2" s="32">
        <v>-4.1300000000000003E-2</v>
      </c>
      <c r="F2" s="3">
        <v>139</v>
      </c>
      <c r="G2" s="3">
        <v>145.6</v>
      </c>
      <c r="H2" s="3">
        <v>141.4</v>
      </c>
      <c r="I2" s="3">
        <v>1075471445</v>
      </c>
      <c r="J2" s="3">
        <v>7605866</v>
      </c>
    </row>
    <row r="3" spans="1:10" x14ac:dyDescent="0.3">
      <c r="A3" s="42" t="s">
        <v>50</v>
      </c>
      <c r="B3" s="3">
        <v>256</v>
      </c>
      <c r="C3" s="3" t="s">
        <v>164</v>
      </c>
      <c r="D3" s="3">
        <v>256.25</v>
      </c>
      <c r="E3" s="32">
        <v>-6.7999999999999996E-3</v>
      </c>
      <c r="F3" s="3">
        <v>252.5</v>
      </c>
      <c r="G3" s="3">
        <v>259.5</v>
      </c>
      <c r="H3" s="3">
        <v>255.04</v>
      </c>
      <c r="I3" s="3">
        <v>211776109</v>
      </c>
      <c r="J3" s="3">
        <v>830382</v>
      </c>
    </row>
    <row r="4" spans="1:10" x14ac:dyDescent="0.3">
      <c r="A4" s="42" t="s">
        <v>51</v>
      </c>
      <c r="B4" s="3">
        <v>7.44</v>
      </c>
      <c r="C4" s="3" t="s">
        <v>165</v>
      </c>
      <c r="D4" s="3">
        <v>7.45</v>
      </c>
      <c r="E4" s="32">
        <v>-2.1100000000000001E-2</v>
      </c>
      <c r="F4" s="3">
        <v>7.44</v>
      </c>
      <c r="G4" s="3">
        <v>7.63</v>
      </c>
      <c r="H4" s="3">
        <v>7.53</v>
      </c>
      <c r="I4" s="3">
        <v>52933017</v>
      </c>
      <c r="J4" s="3">
        <v>7031077</v>
      </c>
    </row>
    <row r="5" spans="1:10" x14ac:dyDescent="0.3">
      <c r="A5" s="42" t="s">
        <v>52</v>
      </c>
      <c r="B5" s="3">
        <v>24.26</v>
      </c>
      <c r="C5" s="3" t="s">
        <v>166</v>
      </c>
      <c r="D5" s="3">
        <v>24.26</v>
      </c>
      <c r="E5" s="32">
        <v>8.3000000000000001E-3</v>
      </c>
      <c r="F5" s="3">
        <v>23.66</v>
      </c>
      <c r="G5" s="3">
        <v>24.3</v>
      </c>
      <c r="H5" s="3">
        <v>23.87</v>
      </c>
      <c r="I5" s="3">
        <v>66353298</v>
      </c>
      <c r="J5" s="3">
        <v>2779620</v>
      </c>
    </row>
    <row r="6" spans="1:10" x14ac:dyDescent="0.3">
      <c r="A6" s="42" t="s">
        <v>1</v>
      </c>
      <c r="B6" s="3">
        <v>50.95</v>
      </c>
      <c r="C6" s="3" t="s">
        <v>167</v>
      </c>
      <c r="D6" s="3">
        <v>51</v>
      </c>
      <c r="E6" s="32">
        <v>-3.5000000000000003E-2</v>
      </c>
      <c r="F6" s="3">
        <v>50.85</v>
      </c>
      <c r="G6" s="3">
        <v>52.9</v>
      </c>
      <c r="H6" s="3">
        <v>51.44</v>
      </c>
      <c r="I6" s="3">
        <v>4972147702</v>
      </c>
      <c r="J6" s="3">
        <v>96666805</v>
      </c>
    </row>
    <row r="7" spans="1:10" x14ac:dyDescent="0.3">
      <c r="A7" s="42" t="s">
        <v>53</v>
      </c>
      <c r="B7" s="3">
        <v>9.08</v>
      </c>
      <c r="C7" s="3" t="s">
        <v>168</v>
      </c>
      <c r="D7" s="3">
        <v>9.08</v>
      </c>
      <c r="E7" s="32">
        <v>0</v>
      </c>
      <c r="F7" s="3">
        <v>8.99</v>
      </c>
      <c r="G7" s="3">
        <v>9.17</v>
      </c>
      <c r="H7" s="3">
        <v>9.0500000000000007</v>
      </c>
      <c r="I7" s="3">
        <v>55252133</v>
      </c>
      <c r="J7" s="3">
        <v>6107433</v>
      </c>
    </row>
    <row r="8" spans="1:10" x14ac:dyDescent="0.3">
      <c r="A8" s="42" t="s">
        <v>54</v>
      </c>
      <c r="B8" s="3">
        <v>32.46</v>
      </c>
      <c r="C8" s="3" t="s">
        <v>169</v>
      </c>
      <c r="D8" s="3">
        <v>32.46</v>
      </c>
      <c r="E8" s="32">
        <v>-3.2800000000000003E-2</v>
      </c>
      <c r="F8" s="3">
        <v>32.46</v>
      </c>
      <c r="G8" s="3">
        <v>33.6</v>
      </c>
      <c r="H8" s="3">
        <v>32.89</v>
      </c>
      <c r="I8" s="3">
        <v>123321070</v>
      </c>
      <c r="J8" s="3">
        <v>3749157</v>
      </c>
    </row>
    <row r="9" spans="1:10" x14ac:dyDescent="0.3">
      <c r="A9" s="42" t="s">
        <v>36</v>
      </c>
      <c r="B9" s="3">
        <v>81.05</v>
      </c>
      <c r="C9" s="3" t="s">
        <v>170</v>
      </c>
      <c r="D9" s="3">
        <v>81.05</v>
      </c>
      <c r="E9" s="32">
        <v>-1.8800000000000001E-2</v>
      </c>
      <c r="F9" s="3">
        <v>80.7</v>
      </c>
      <c r="G9" s="3">
        <v>82.55</v>
      </c>
      <c r="H9" s="3">
        <v>81.709999999999994</v>
      </c>
      <c r="I9" s="3">
        <v>369284059</v>
      </c>
      <c r="J9" s="3">
        <v>4519722</v>
      </c>
    </row>
    <row r="10" spans="1:10" x14ac:dyDescent="0.3">
      <c r="A10" s="42" t="s">
        <v>55</v>
      </c>
      <c r="B10" s="3">
        <v>44.06</v>
      </c>
      <c r="C10" s="3" t="s">
        <v>171</v>
      </c>
      <c r="D10" s="3">
        <v>44.2</v>
      </c>
      <c r="E10" s="32">
        <v>-0.02</v>
      </c>
      <c r="F10" s="3">
        <v>44.06</v>
      </c>
      <c r="G10" s="3">
        <v>46.34</v>
      </c>
      <c r="H10" s="3">
        <v>45.16</v>
      </c>
      <c r="I10" s="3">
        <v>115068046</v>
      </c>
      <c r="J10" s="3">
        <v>2548069</v>
      </c>
    </row>
    <row r="11" spans="1:10" x14ac:dyDescent="0.3">
      <c r="A11" s="42" t="s">
        <v>56</v>
      </c>
      <c r="B11" s="3">
        <v>69.849999999999994</v>
      </c>
      <c r="C11" s="3" t="s">
        <v>172</v>
      </c>
      <c r="D11" s="3">
        <v>69.900000000000006</v>
      </c>
      <c r="E11" s="32">
        <v>-2.0999999999999999E-3</v>
      </c>
      <c r="F11" s="3">
        <v>69.25</v>
      </c>
      <c r="G11" s="3">
        <v>72.099999999999994</v>
      </c>
      <c r="H11" s="3">
        <v>70.569999999999993</v>
      </c>
      <c r="I11" s="3">
        <v>171785290</v>
      </c>
      <c r="J11" s="3">
        <v>2434343</v>
      </c>
    </row>
    <row r="12" spans="1:10" x14ac:dyDescent="0.3">
      <c r="A12" s="42" t="s">
        <v>57</v>
      </c>
      <c r="B12" s="3">
        <v>77.45</v>
      </c>
      <c r="C12" s="3" t="s">
        <v>173</v>
      </c>
      <c r="D12" s="3">
        <v>77.45</v>
      </c>
      <c r="E12" s="32">
        <v>3.4000000000000002E-2</v>
      </c>
      <c r="F12" s="3">
        <v>73.2</v>
      </c>
      <c r="G12" s="3">
        <v>77.45</v>
      </c>
      <c r="H12" s="3">
        <v>74.83</v>
      </c>
      <c r="I12" s="3">
        <v>62409380</v>
      </c>
      <c r="J12" s="3">
        <v>834002</v>
      </c>
    </row>
    <row r="13" spans="1:10" x14ac:dyDescent="0.3">
      <c r="A13" s="42" t="s">
        <v>58</v>
      </c>
      <c r="B13" s="3">
        <v>88</v>
      </c>
      <c r="C13" s="3" t="s">
        <v>174</v>
      </c>
      <c r="D13" s="3">
        <v>88</v>
      </c>
      <c r="E13" s="32">
        <v>-9.5999999999999992E-3</v>
      </c>
      <c r="F13" s="3">
        <v>86.85</v>
      </c>
      <c r="G13" s="3">
        <v>89.5</v>
      </c>
      <c r="H13" s="3">
        <v>87.81</v>
      </c>
      <c r="I13" s="3">
        <v>137036278</v>
      </c>
      <c r="J13" s="3">
        <v>1560537</v>
      </c>
    </row>
    <row r="14" spans="1:10" x14ac:dyDescent="0.3">
      <c r="A14" s="42" t="s">
        <v>59</v>
      </c>
      <c r="B14" s="3">
        <v>105.4</v>
      </c>
      <c r="C14" s="3" t="s">
        <v>175</v>
      </c>
      <c r="D14" s="3">
        <v>105.4</v>
      </c>
      <c r="E14" s="32">
        <v>-1.77E-2</v>
      </c>
      <c r="F14" s="3">
        <v>104.3</v>
      </c>
      <c r="G14" s="3">
        <v>108.2</v>
      </c>
      <c r="H14" s="3">
        <v>106.31</v>
      </c>
      <c r="I14" s="3">
        <v>265549109</v>
      </c>
      <c r="J14" s="3">
        <v>2497957</v>
      </c>
    </row>
    <row r="15" spans="1:10" x14ac:dyDescent="0.3">
      <c r="A15" s="42" t="s">
        <v>60</v>
      </c>
      <c r="B15" s="3">
        <v>26.56</v>
      </c>
      <c r="C15" s="3" t="s">
        <v>176</v>
      </c>
      <c r="D15" s="3">
        <v>26.58</v>
      </c>
      <c r="E15" s="32">
        <v>-3.7699999999999997E-2</v>
      </c>
      <c r="F15" s="3">
        <v>26.56</v>
      </c>
      <c r="G15" s="3">
        <v>27.88</v>
      </c>
      <c r="H15" s="3">
        <v>27.05</v>
      </c>
      <c r="I15" s="3">
        <v>39452283</v>
      </c>
      <c r="J15" s="3">
        <v>1458273</v>
      </c>
    </row>
    <row r="16" spans="1:10" x14ac:dyDescent="0.3">
      <c r="A16" s="42" t="s">
        <v>22</v>
      </c>
      <c r="B16" s="3">
        <v>129.6</v>
      </c>
      <c r="C16" s="3" t="s">
        <v>177</v>
      </c>
      <c r="D16" s="3">
        <v>129.69999999999999</v>
      </c>
      <c r="E16" s="32">
        <v>-1.9699999999999999E-2</v>
      </c>
      <c r="F16" s="3">
        <v>128.6</v>
      </c>
      <c r="G16" s="3">
        <v>132.6</v>
      </c>
      <c r="H16" s="3">
        <v>130.38999999999999</v>
      </c>
      <c r="I16" s="3">
        <v>3788764970</v>
      </c>
      <c r="J16" s="3">
        <v>29057534</v>
      </c>
    </row>
    <row r="17" spans="1:10" x14ac:dyDescent="0.3">
      <c r="A17" s="42" t="s">
        <v>61</v>
      </c>
      <c r="B17" s="3">
        <v>93.55</v>
      </c>
      <c r="C17" s="3" t="s">
        <v>178</v>
      </c>
      <c r="D17" s="3">
        <v>93.55</v>
      </c>
      <c r="E17" s="32">
        <v>-4.7999999999999996E-3</v>
      </c>
      <c r="F17" s="3">
        <v>92.2</v>
      </c>
      <c r="G17" s="3">
        <v>95.2</v>
      </c>
      <c r="H17" s="3">
        <v>93.7</v>
      </c>
      <c r="I17" s="3">
        <v>776137616</v>
      </c>
      <c r="J17" s="3">
        <v>8283189</v>
      </c>
    </row>
    <row r="18" spans="1:10" x14ac:dyDescent="0.3">
      <c r="A18" s="42" t="s">
        <v>62</v>
      </c>
      <c r="B18" s="3">
        <v>52.25</v>
      </c>
      <c r="C18" s="3" t="s">
        <v>179</v>
      </c>
      <c r="D18" s="3">
        <v>52.45</v>
      </c>
      <c r="E18" s="32">
        <v>1E-3</v>
      </c>
      <c r="F18" s="3">
        <v>51.9</v>
      </c>
      <c r="G18" s="3">
        <v>53</v>
      </c>
      <c r="H18" s="3">
        <v>52.25</v>
      </c>
      <c r="I18" s="3">
        <v>43400539</v>
      </c>
      <c r="J18" s="3">
        <v>830631</v>
      </c>
    </row>
    <row r="19" spans="1:10" x14ac:dyDescent="0.3">
      <c r="A19" s="42" t="s">
        <v>63</v>
      </c>
      <c r="B19" s="3">
        <v>14.05</v>
      </c>
      <c r="C19" s="3" t="s">
        <v>180</v>
      </c>
      <c r="D19" s="3">
        <v>14.06</v>
      </c>
      <c r="E19" s="32">
        <v>-3.6400000000000002E-2</v>
      </c>
      <c r="F19" s="3">
        <v>14.03</v>
      </c>
      <c r="G19" s="3">
        <v>14.61</v>
      </c>
      <c r="H19" s="3">
        <v>14.24</v>
      </c>
      <c r="I19" s="3">
        <v>63706320</v>
      </c>
      <c r="J19" s="3">
        <v>4472390</v>
      </c>
    </row>
    <row r="20" spans="1:10" x14ac:dyDescent="0.3">
      <c r="A20" s="42" t="s">
        <v>24</v>
      </c>
      <c r="B20" s="3">
        <v>476</v>
      </c>
      <c r="C20" s="3" t="s">
        <v>181</v>
      </c>
      <c r="D20" s="3">
        <v>476.5</v>
      </c>
      <c r="E20" s="32">
        <v>-1.4500000000000001E-2</v>
      </c>
      <c r="F20" s="3">
        <v>472.5</v>
      </c>
      <c r="G20" s="3">
        <v>483</v>
      </c>
      <c r="H20" s="3">
        <v>476.93</v>
      </c>
      <c r="I20" s="3">
        <v>2773437461</v>
      </c>
      <c r="J20" s="3">
        <v>5815243</v>
      </c>
    </row>
    <row r="21" spans="1:10" x14ac:dyDescent="0.3">
      <c r="A21" s="42" t="s">
        <v>64</v>
      </c>
      <c r="B21" s="3">
        <v>330.75</v>
      </c>
      <c r="C21" s="3" t="s">
        <v>182</v>
      </c>
      <c r="D21" s="3">
        <v>330.75</v>
      </c>
      <c r="E21" s="32">
        <v>3.0000000000000001E-3</v>
      </c>
      <c r="F21" s="3">
        <v>320.25</v>
      </c>
      <c r="G21" s="3">
        <v>333</v>
      </c>
      <c r="H21" s="3">
        <v>327.3</v>
      </c>
      <c r="I21" s="3">
        <v>180706508</v>
      </c>
      <c r="J21" s="3">
        <v>552121</v>
      </c>
    </row>
    <row r="22" spans="1:10" x14ac:dyDescent="0.3">
      <c r="A22" s="42" t="s">
        <v>65</v>
      </c>
      <c r="B22" s="3">
        <v>1836</v>
      </c>
      <c r="C22" s="3" t="s">
        <v>183</v>
      </c>
      <c r="D22" s="3">
        <v>1838</v>
      </c>
      <c r="E22" s="32">
        <v>-1.29E-2</v>
      </c>
      <c r="F22" s="3">
        <v>1836</v>
      </c>
      <c r="G22" s="3">
        <v>1905</v>
      </c>
      <c r="H22" s="3">
        <v>1860.9</v>
      </c>
      <c r="I22" s="3">
        <v>89877655</v>
      </c>
      <c r="J22" s="3">
        <v>48298</v>
      </c>
    </row>
    <row r="23" spans="1:10" x14ac:dyDescent="0.3">
      <c r="A23" s="42" t="s">
        <v>66</v>
      </c>
      <c r="B23" s="3">
        <v>16.350000000000001</v>
      </c>
      <c r="C23" s="3" t="s">
        <v>184</v>
      </c>
      <c r="D23" s="3">
        <v>16.5</v>
      </c>
      <c r="E23" s="32">
        <v>-3.0000000000000001E-3</v>
      </c>
      <c r="F23" s="3">
        <v>16.2</v>
      </c>
      <c r="G23" s="3">
        <v>16.71</v>
      </c>
      <c r="H23" s="3">
        <v>16.46</v>
      </c>
      <c r="I23" s="3">
        <v>127065522</v>
      </c>
      <c r="J23" s="3">
        <v>7719962</v>
      </c>
    </row>
    <row r="24" spans="1:10" x14ac:dyDescent="0.3">
      <c r="A24" s="42" t="s">
        <v>67</v>
      </c>
      <c r="B24" s="3">
        <v>4.97</v>
      </c>
      <c r="C24" s="3" t="s">
        <v>185</v>
      </c>
      <c r="D24" s="3">
        <v>4.97</v>
      </c>
      <c r="E24" s="32">
        <v>8.0999999999999996E-3</v>
      </c>
      <c r="F24" s="3">
        <v>4.91</v>
      </c>
      <c r="G24" s="3">
        <v>5</v>
      </c>
      <c r="H24" s="3">
        <v>4.95</v>
      </c>
      <c r="I24" s="3">
        <v>405324994</v>
      </c>
      <c r="J24" s="3">
        <v>81890613</v>
      </c>
    </row>
    <row r="25" spans="1:10" x14ac:dyDescent="0.3">
      <c r="A25" s="42" t="s">
        <v>68</v>
      </c>
      <c r="B25" s="3">
        <v>1.54</v>
      </c>
      <c r="C25" s="3" t="s">
        <v>186</v>
      </c>
      <c r="D25" s="3">
        <v>1.54</v>
      </c>
      <c r="E25" s="32">
        <v>-2.53E-2</v>
      </c>
      <c r="F25" s="3">
        <v>1.53</v>
      </c>
      <c r="G25" s="3">
        <v>1.6</v>
      </c>
      <c r="H25" s="3">
        <v>1.56</v>
      </c>
      <c r="I25" s="3">
        <v>154977466</v>
      </c>
      <c r="J25" s="3">
        <v>99184556</v>
      </c>
    </row>
    <row r="26" spans="1:10" x14ac:dyDescent="0.3">
      <c r="A26" s="42" t="s">
        <v>69</v>
      </c>
      <c r="B26" s="3">
        <v>48.76</v>
      </c>
      <c r="C26" s="3" t="s">
        <v>187</v>
      </c>
      <c r="D26" s="3">
        <v>48.98</v>
      </c>
      <c r="E26" s="32">
        <v>-4.02E-2</v>
      </c>
      <c r="F26" s="3">
        <v>48.76</v>
      </c>
      <c r="G26" s="3">
        <v>50.75</v>
      </c>
      <c r="H26" s="3">
        <v>49.16</v>
      </c>
      <c r="I26" s="3">
        <v>348487096</v>
      </c>
      <c r="J26" s="3">
        <v>7088515</v>
      </c>
    </row>
    <row r="27" spans="1:10" x14ac:dyDescent="0.3">
      <c r="A27" s="42" t="s">
        <v>70</v>
      </c>
      <c r="B27" s="3">
        <v>48.2</v>
      </c>
      <c r="C27" s="3" t="s">
        <v>188</v>
      </c>
      <c r="D27" s="3">
        <v>48.3</v>
      </c>
      <c r="E27" s="32">
        <v>1.47E-2</v>
      </c>
      <c r="F27" s="3">
        <v>46.94</v>
      </c>
      <c r="G27" s="3">
        <v>48.82</v>
      </c>
      <c r="H27" s="3">
        <v>48.07</v>
      </c>
      <c r="I27" s="3">
        <v>550361917</v>
      </c>
      <c r="J27" s="3">
        <v>11449488</v>
      </c>
    </row>
    <row r="28" spans="1:10" x14ac:dyDescent="0.3">
      <c r="A28" s="42" t="s">
        <v>71</v>
      </c>
      <c r="B28" s="3">
        <v>1793</v>
      </c>
      <c r="C28" s="3" t="s">
        <v>189</v>
      </c>
      <c r="D28" s="3">
        <v>1796</v>
      </c>
      <c r="E28" s="32">
        <v>-6.6E-3</v>
      </c>
      <c r="F28" s="3">
        <v>1776</v>
      </c>
      <c r="G28" s="3">
        <v>1827</v>
      </c>
      <c r="H28" s="3">
        <v>1799.3</v>
      </c>
      <c r="I28" s="3">
        <v>167966788</v>
      </c>
      <c r="J28" s="3">
        <v>93351</v>
      </c>
    </row>
    <row r="29" spans="1:10" x14ac:dyDescent="0.3">
      <c r="A29" s="42" t="s">
        <v>72</v>
      </c>
      <c r="B29" s="3">
        <v>14.37</v>
      </c>
      <c r="C29" s="3" t="s">
        <v>190</v>
      </c>
      <c r="D29" s="3">
        <v>14.37</v>
      </c>
      <c r="E29" s="32">
        <v>-4.9599999999999998E-2</v>
      </c>
      <c r="F29" s="3">
        <v>14.37</v>
      </c>
      <c r="G29" s="3">
        <v>15.32</v>
      </c>
      <c r="H29" s="3">
        <v>14.65</v>
      </c>
      <c r="I29" s="3">
        <v>177012859</v>
      </c>
      <c r="J29" s="3">
        <v>12086548</v>
      </c>
    </row>
    <row r="30" spans="1:10" x14ac:dyDescent="0.3">
      <c r="A30" s="42" t="s">
        <v>73</v>
      </c>
      <c r="B30" s="3">
        <v>173.6</v>
      </c>
      <c r="C30" s="3" t="s">
        <v>191</v>
      </c>
      <c r="D30" s="3">
        <v>173.6</v>
      </c>
      <c r="E30" s="32">
        <v>-1.7500000000000002E-2</v>
      </c>
      <c r="F30" s="3">
        <v>172.4</v>
      </c>
      <c r="G30" s="3">
        <v>177.8</v>
      </c>
      <c r="H30" s="3">
        <v>174.47</v>
      </c>
      <c r="I30" s="3">
        <v>231632940</v>
      </c>
      <c r="J30" s="3">
        <v>1327631</v>
      </c>
    </row>
    <row r="31" spans="1:10" x14ac:dyDescent="0.3">
      <c r="A31" s="42" t="s">
        <v>74</v>
      </c>
      <c r="B31" s="3">
        <v>14.66</v>
      </c>
      <c r="C31" s="3" t="s">
        <v>192</v>
      </c>
      <c r="D31" s="3">
        <v>14.67</v>
      </c>
      <c r="E31" s="32">
        <v>-2.7000000000000001E-3</v>
      </c>
      <c r="F31" s="3">
        <v>14.36</v>
      </c>
      <c r="G31" s="3">
        <v>14.66</v>
      </c>
      <c r="H31" s="3">
        <v>14.52</v>
      </c>
      <c r="I31" s="3">
        <v>227429404</v>
      </c>
      <c r="J31" s="3">
        <v>15668304</v>
      </c>
    </row>
    <row r="32" spans="1:10" x14ac:dyDescent="0.3">
      <c r="A32" s="42" t="s">
        <v>75</v>
      </c>
      <c r="B32" s="3">
        <v>46.1</v>
      </c>
      <c r="C32" s="3" t="s">
        <v>193</v>
      </c>
      <c r="D32" s="3">
        <v>46.1</v>
      </c>
      <c r="E32" s="32">
        <v>3.04E-2</v>
      </c>
      <c r="F32" s="3">
        <v>44.24</v>
      </c>
      <c r="G32" s="3">
        <v>46.1</v>
      </c>
      <c r="H32" s="3">
        <v>45.28</v>
      </c>
      <c r="I32" s="3">
        <v>129080610</v>
      </c>
      <c r="J32" s="3">
        <v>2850616</v>
      </c>
    </row>
    <row r="33" spans="1:10" x14ac:dyDescent="0.3">
      <c r="A33" s="42" t="s">
        <v>76</v>
      </c>
      <c r="B33" s="3">
        <v>102.8</v>
      </c>
      <c r="C33" s="3" t="s">
        <v>194</v>
      </c>
      <c r="D33" s="3">
        <v>102.8</v>
      </c>
      <c r="E33" s="32">
        <v>1.9E-3</v>
      </c>
      <c r="F33" s="3">
        <v>101.1</v>
      </c>
      <c r="G33" s="3">
        <v>103.3</v>
      </c>
      <c r="H33" s="3">
        <v>102.2</v>
      </c>
      <c r="I33" s="3">
        <v>78132582</v>
      </c>
      <c r="J33" s="3">
        <v>764541</v>
      </c>
    </row>
    <row r="34" spans="1:10" x14ac:dyDescent="0.3">
      <c r="A34" s="42" t="s">
        <v>77</v>
      </c>
      <c r="B34" s="3">
        <v>8305</v>
      </c>
      <c r="C34" s="3" t="s">
        <v>195</v>
      </c>
      <c r="D34" s="3">
        <v>8305</v>
      </c>
      <c r="E34" s="32">
        <v>3.4200000000000001E-2</v>
      </c>
      <c r="F34" s="3">
        <v>7965</v>
      </c>
      <c r="G34" s="3">
        <v>8350</v>
      </c>
      <c r="H34" s="3">
        <v>8175.7</v>
      </c>
      <c r="I34" s="3">
        <v>168869043</v>
      </c>
      <c r="J34" s="3">
        <v>20655</v>
      </c>
    </row>
    <row r="35" spans="1:10" x14ac:dyDescent="0.3">
      <c r="A35" s="42" t="s">
        <v>78</v>
      </c>
      <c r="B35" s="3">
        <v>13.98</v>
      </c>
      <c r="C35" s="3" t="s">
        <v>196</v>
      </c>
      <c r="D35" s="3">
        <v>13.99</v>
      </c>
      <c r="E35" s="32">
        <v>-5.0000000000000001E-3</v>
      </c>
      <c r="F35" s="3">
        <v>13.82</v>
      </c>
      <c r="G35" s="3">
        <v>14.36</v>
      </c>
      <c r="H35" s="3">
        <v>14.06</v>
      </c>
      <c r="I35" s="3">
        <v>4248510772</v>
      </c>
      <c r="J35" s="3">
        <v>302194247</v>
      </c>
    </row>
    <row r="36" spans="1:10" x14ac:dyDescent="0.3">
      <c r="A36" s="42" t="s">
        <v>79</v>
      </c>
      <c r="B36" s="3">
        <v>4.88</v>
      </c>
      <c r="C36" s="3" t="s">
        <v>197</v>
      </c>
      <c r="D36" s="3">
        <v>4.88</v>
      </c>
      <c r="E36" s="32">
        <v>-8.0999999999999996E-3</v>
      </c>
      <c r="F36" s="3">
        <v>4.83</v>
      </c>
      <c r="G36" s="3">
        <v>4.97</v>
      </c>
      <c r="H36" s="3">
        <v>4.8899999999999997</v>
      </c>
      <c r="I36" s="3">
        <v>254427400</v>
      </c>
      <c r="J36" s="3">
        <v>52038609</v>
      </c>
    </row>
    <row r="37" spans="1:10" x14ac:dyDescent="0.3">
      <c r="A37" s="42" t="s">
        <v>80</v>
      </c>
      <c r="B37" s="3">
        <v>53.35</v>
      </c>
      <c r="C37" s="3" t="s">
        <v>198</v>
      </c>
      <c r="D37" s="3">
        <v>53.35</v>
      </c>
      <c r="E37" s="32">
        <v>9.4999999999999998E-3</v>
      </c>
      <c r="F37" s="3">
        <v>51.45</v>
      </c>
      <c r="G37" s="3">
        <v>53.35</v>
      </c>
      <c r="H37" s="3">
        <v>52.07</v>
      </c>
      <c r="I37" s="3">
        <v>179518417</v>
      </c>
      <c r="J37" s="3">
        <v>3447399</v>
      </c>
    </row>
    <row r="38" spans="1:10" x14ac:dyDescent="0.3">
      <c r="A38" s="42" t="s">
        <v>81</v>
      </c>
      <c r="B38" s="3">
        <v>60.3</v>
      </c>
      <c r="C38" s="3" t="s">
        <v>199</v>
      </c>
      <c r="D38" s="3">
        <v>60.3</v>
      </c>
      <c r="E38" s="32">
        <v>-1.15E-2</v>
      </c>
      <c r="F38" s="3">
        <v>60.3</v>
      </c>
      <c r="G38" s="3">
        <v>62.1</v>
      </c>
      <c r="H38" s="3">
        <v>61.1</v>
      </c>
      <c r="I38" s="3">
        <v>873946652</v>
      </c>
      <c r="J38" s="3">
        <v>14304126</v>
      </c>
    </row>
    <row r="39" spans="1:10" x14ac:dyDescent="0.3">
      <c r="A39" s="42" t="s">
        <v>35</v>
      </c>
      <c r="B39" s="3">
        <v>23.44</v>
      </c>
      <c r="C39" s="3" t="s">
        <v>200</v>
      </c>
      <c r="D39" s="3">
        <v>23.44</v>
      </c>
      <c r="E39" s="32">
        <v>-1.6E-2</v>
      </c>
      <c r="F39" s="3">
        <v>23.28</v>
      </c>
      <c r="G39" s="3">
        <v>23.88</v>
      </c>
      <c r="H39" s="3">
        <v>23.54</v>
      </c>
      <c r="I39" s="3">
        <v>2905442258</v>
      </c>
      <c r="J39" s="3">
        <v>123409268</v>
      </c>
    </row>
    <row r="40" spans="1:10" x14ac:dyDescent="0.3">
      <c r="A40" s="42" t="s">
        <v>82</v>
      </c>
      <c r="B40" s="3">
        <v>26.8</v>
      </c>
      <c r="C40" s="3" t="s">
        <v>201</v>
      </c>
      <c r="D40" s="3">
        <v>26.8</v>
      </c>
      <c r="E40" s="32">
        <v>-5.1999999999999998E-3</v>
      </c>
      <c r="F40" s="3">
        <v>26</v>
      </c>
      <c r="G40" s="3">
        <v>27.16</v>
      </c>
      <c r="H40" s="3">
        <v>26.42</v>
      </c>
      <c r="I40" s="3">
        <v>113664045</v>
      </c>
      <c r="J40" s="3">
        <v>4303020</v>
      </c>
    </row>
    <row r="41" spans="1:10" x14ac:dyDescent="0.3">
      <c r="A41" s="42" t="s">
        <v>29</v>
      </c>
      <c r="B41" s="3">
        <v>80.150000000000006</v>
      </c>
      <c r="C41" s="3" t="s">
        <v>202</v>
      </c>
      <c r="D41" s="3">
        <v>80.150000000000006</v>
      </c>
      <c r="E41" s="32">
        <v>-5.04E-2</v>
      </c>
      <c r="F41" s="3">
        <v>80.150000000000006</v>
      </c>
      <c r="G41" s="3">
        <v>84.6</v>
      </c>
      <c r="H41" s="3">
        <v>81.88</v>
      </c>
      <c r="I41" s="3">
        <v>1482499524</v>
      </c>
      <c r="J41" s="3">
        <v>18105724</v>
      </c>
    </row>
    <row r="42" spans="1:10" x14ac:dyDescent="0.3">
      <c r="A42" s="42" t="s">
        <v>23</v>
      </c>
      <c r="B42" s="3">
        <v>105.9</v>
      </c>
      <c r="C42" s="3" t="s">
        <v>203</v>
      </c>
      <c r="D42" s="3">
        <v>106</v>
      </c>
      <c r="E42" s="32">
        <v>-3.3799999999999997E-2</v>
      </c>
      <c r="F42" s="3">
        <v>105</v>
      </c>
      <c r="G42" s="3">
        <v>109.9</v>
      </c>
      <c r="H42" s="3">
        <v>106.24</v>
      </c>
      <c r="I42" s="3">
        <v>3875177017</v>
      </c>
      <c r="J42" s="3">
        <v>36474547</v>
      </c>
    </row>
    <row r="43" spans="1:10" x14ac:dyDescent="0.3">
      <c r="A43" s="42" t="s">
        <v>83</v>
      </c>
      <c r="B43" s="3">
        <v>42.92</v>
      </c>
      <c r="C43" s="3" t="s">
        <v>204</v>
      </c>
      <c r="D43" s="3">
        <v>42.92</v>
      </c>
      <c r="E43" s="32">
        <v>3.1699999999999999E-2</v>
      </c>
      <c r="F43" s="3">
        <v>40.880000000000003</v>
      </c>
      <c r="G43" s="3">
        <v>42.92</v>
      </c>
      <c r="H43" s="3">
        <v>41.46</v>
      </c>
      <c r="I43" s="3">
        <v>142885931</v>
      </c>
      <c r="J43" s="3">
        <v>3445988</v>
      </c>
    </row>
    <row r="44" spans="1:10" x14ac:dyDescent="0.3">
      <c r="A44" s="42" t="s">
        <v>84</v>
      </c>
      <c r="B44" s="3">
        <v>341</v>
      </c>
      <c r="C44" s="3" t="s">
        <v>205</v>
      </c>
      <c r="D44" s="3">
        <v>341</v>
      </c>
      <c r="E44" s="32">
        <v>-1.0200000000000001E-2</v>
      </c>
      <c r="F44" s="3">
        <v>340</v>
      </c>
      <c r="G44" s="3">
        <v>346</v>
      </c>
      <c r="H44" s="3">
        <v>342.43</v>
      </c>
      <c r="I44" s="3">
        <v>23882118</v>
      </c>
      <c r="J44" s="3">
        <v>69744</v>
      </c>
    </row>
    <row r="45" spans="1:10" x14ac:dyDescent="0.3">
      <c r="A45" s="42" t="s">
        <v>85</v>
      </c>
      <c r="B45" s="3">
        <v>289.25</v>
      </c>
      <c r="C45" s="3" t="s">
        <v>151</v>
      </c>
      <c r="D45" s="3"/>
      <c r="E45" s="32">
        <v>9.98E-2</v>
      </c>
      <c r="F45" s="3">
        <v>265</v>
      </c>
      <c r="G45" s="3">
        <v>289.25</v>
      </c>
      <c r="H45" s="3">
        <v>286.8</v>
      </c>
      <c r="I45" s="3">
        <v>906340194</v>
      </c>
      <c r="J45" s="3">
        <v>3160231</v>
      </c>
    </row>
    <row r="46" spans="1:10" x14ac:dyDescent="0.3">
      <c r="A46" s="42" t="s">
        <v>86</v>
      </c>
      <c r="B46" s="3">
        <v>1.79</v>
      </c>
      <c r="C46" s="3" t="s">
        <v>206</v>
      </c>
      <c r="D46" s="3">
        <v>1.8</v>
      </c>
      <c r="E46" s="32">
        <v>1.1299999999999999E-2</v>
      </c>
      <c r="F46" s="3">
        <v>1.76</v>
      </c>
      <c r="G46" s="3">
        <v>1.89</v>
      </c>
      <c r="H46" s="3">
        <v>1.82</v>
      </c>
      <c r="I46" s="3">
        <v>264298826</v>
      </c>
      <c r="J46" s="3">
        <v>144876115</v>
      </c>
    </row>
    <row r="47" spans="1:10" x14ac:dyDescent="0.3">
      <c r="A47" s="42" t="s">
        <v>87</v>
      </c>
      <c r="B47" s="3">
        <v>238.1</v>
      </c>
      <c r="C47" s="3" t="s">
        <v>146</v>
      </c>
      <c r="D47" s="3">
        <v>238.1</v>
      </c>
      <c r="E47" s="32">
        <v>-9.98E-2</v>
      </c>
      <c r="F47" s="3">
        <v>238.1</v>
      </c>
      <c r="G47" s="3">
        <v>269.5</v>
      </c>
      <c r="H47" s="3">
        <v>244.6</v>
      </c>
      <c r="I47" s="3">
        <v>4441930327</v>
      </c>
      <c r="J47" s="3">
        <v>18160003</v>
      </c>
    </row>
    <row r="48" spans="1:10" x14ac:dyDescent="0.3">
      <c r="A48" s="42" t="s">
        <v>88</v>
      </c>
      <c r="B48" s="3">
        <v>19.43</v>
      </c>
      <c r="C48" s="3" t="s">
        <v>207</v>
      </c>
      <c r="D48" s="3">
        <v>19.45</v>
      </c>
      <c r="E48" s="32">
        <v>-4.7500000000000001E-2</v>
      </c>
      <c r="F48" s="3">
        <v>19.399999999999999</v>
      </c>
      <c r="G48" s="3">
        <v>20.420000000000002</v>
      </c>
      <c r="H48" s="3">
        <v>19.75</v>
      </c>
      <c r="I48" s="3">
        <v>872155561</v>
      </c>
      <c r="J48" s="3">
        <v>44154516</v>
      </c>
    </row>
    <row r="49" spans="1:10" x14ac:dyDescent="0.3">
      <c r="A49" s="42" t="s">
        <v>32</v>
      </c>
      <c r="B49" s="3">
        <v>3.09</v>
      </c>
      <c r="C49" s="3" t="s">
        <v>208</v>
      </c>
      <c r="D49" s="3">
        <v>3.1</v>
      </c>
      <c r="E49" s="32">
        <v>3.3399999999999999E-2</v>
      </c>
      <c r="F49" s="3">
        <v>2.95</v>
      </c>
      <c r="G49" s="3">
        <v>3.09</v>
      </c>
      <c r="H49" s="3">
        <v>3.01</v>
      </c>
      <c r="I49" s="3">
        <v>321163509</v>
      </c>
      <c r="J49" s="3">
        <v>106865173</v>
      </c>
    </row>
    <row r="50" spans="1:10" x14ac:dyDescent="0.3">
      <c r="A50" s="42" t="s">
        <v>89</v>
      </c>
      <c r="B50" s="3">
        <v>13.32</v>
      </c>
      <c r="C50" s="3" t="s">
        <v>209</v>
      </c>
      <c r="D50" s="3">
        <v>13.34</v>
      </c>
      <c r="E50" s="32">
        <v>2.3E-3</v>
      </c>
      <c r="F50" s="3">
        <v>13.29</v>
      </c>
      <c r="G50" s="3">
        <v>13.99</v>
      </c>
      <c r="H50" s="3">
        <v>13.49</v>
      </c>
      <c r="I50" s="3">
        <v>80736494</v>
      </c>
      <c r="J50" s="3">
        <v>5983749</v>
      </c>
    </row>
    <row r="51" spans="1:10" x14ac:dyDescent="0.3">
      <c r="A51" s="42" t="s">
        <v>27</v>
      </c>
      <c r="B51" s="3">
        <v>10.75</v>
      </c>
      <c r="C51" s="3" t="s">
        <v>210</v>
      </c>
      <c r="D51" s="3">
        <v>10.76</v>
      </c>
      <c r="E51" s="32">
        <v>-2.01E-2</v>
      </c>
      <c r="F51" s="3">
        <v>10.75</v>
      </c>
      <c r="G51" s="3">
        <v>10.98</v>
      </c>
      <c r="H51" s="3">
        <v>10.8</v>
      </c>
      <c r="I51" s="3">
        <v>3054787641</v>
      </c>
      <c r="J51" s="3">
        <v>282757723</v>
      </c>
    </row>
    <row r="52" spans="1:10" x14ac:dyDescent="0.3">
      <c r="A52" s="42" t="s">
        <v>90</v>
      </c>
      <c r="B52" s="3">
        <v>32.799999999999997</v>
      </c>
      <c r="C52" s="3" t="s">
        <v>211</v>
      </c>
      <c r="D52" s="3">
        <v>33</v>
      </c>
      <c r="E52" s="32">
        <v>-2.3199999999999998E-2</v>
      </c>
      <c r="F52" s="3">
        <v>32.799999999999997</v>
      </c>
      <c r="G52" s="3">
        <v>33.659999999999997</v>
      </c>
      <c r="H52" s="3">
        <v>33.15</v>
      </c>
      <c r="I52" s="3">
        <v>177083077</v>
      </c>
      <c r="J52" s="3">
        <v>5342171</v>
      </c>
    </row>
    <row r="53" spans="1:10" x14ac:dyDescent="0.3">
      <c r="A53" s="42" t="s">
        <v>91</v>
      </c>
      <c r="B53" s="3">
        <v>9.94</v>
      </c>
      <c r="C53" s="3" t="s">
        <v>212</v>
      </c>
      <c r="D53" s="3">
        <v>9.94</v>
      </c>
      <c r="E53" s="32">
        <v>-7.0000000000000001E-3</v>
      </c>
      <c r="F53" s="3">
        <v>9.93</v>
      </c>
      <c r="G53" s="3">
        <v>10.050000000000001</v>
      </c>
      <c r="H53" s="3">
        <v>9.99</v>
      </c>
      <c r="I53" s="3">
        <v>48818684</v>
      </c>
      <c r="J53" s="3">
        <v>4888678</v>
      </c>
    </row>
    <row r="54" spans="1:10" x14ac:dyDescent="0.3">
      <c r="A54" s="42" t="s">
        <v>92</v>
      </c>
      <c r="B54" s="3">
        <v>13.35</v>
      </c>
      <c r="C54" s="3" t="s">
        <v>213</v>
      </c>
      <c r="D54" s="3">
        <v>13.35</v>
      </c>
      <c r="E54" s="32">
        <v>-8.2000000000000007E-3</v>
      </c>
      <c r="F54" s="3">
        <v>12.87</v>
      </c>
      <c r="G54" s="3">
        <v>13.5</v>
      </c>
      <c r="H54" s="3">
        <v>13.18</v>
      </c>
      <c r="I54" s="3">
        <v>126719886</v>
      </c>
      <c r="J54" s="3">
        <v>9611653</v>
      </c>
    </row>
    <row r="55" spans="1:10" x14ac:dyDescent="0.3">
      <c r="A55" s="42" t="s">
        <v>37</v>
      </c>
      <c r="B55" s="3">
        <v>141.69999999999999</v>
      </c>
      <c r="C55" s="3" t="s">
        <v>214</v>
      </c>
      <c r="D55" s="3">
        <v>141.80000000000001</v>
      </c>
      <c r="E55" s="32">
        <v>-9.1000000000000004E-3</v>
      </c>
      <c r="F55" s="3">
        <v>141.5</v>
      </c>
      <c r="G55" s="3">
        <v>144.30000000000001</v>
      </c>
      <c r="H55" s="3">
        <v>142.78</v>
      </c>
      <c r="I55" s="3">
        <v>3214910203</v>
      </c>
      <c r="J55" s="3">
        <v>22515996</v>
      </c>
    </row>
    <row r="56" spans="1:10" x14ac:dyDescent="0.3">
      <c r="A56" s="42" t="s">
        <v>93</v>
      </c>
      <c r="B56" s="3">
        <v>25.26</v>
      </c>
      <c r="C56" s="3" t="s">
        <v>215</v>
      </c>
      <c r="D56" s="3">
        <v>25.26</v>
      </c>
      <c r="E56" s="32">
        <v>1.5299999999999999E-2</v>
      </c>
      <c r="F56" s="3">
        <v>24.58</v>
      </c>
      <c r="G56" s="3">
        <v>26.78</v>
      </c>
      <c r="H56" s="3">
        <v>25.24</v>
      </c>
      <c r="I56" s="3">
        <v>632766811</v>
      </c>
      <c r="J56" s="3">
        <v>25071954</v>
      </c>
    </row>
    <row r="57" spans="1:10" x14ac:dyDescent="0.3">
      <c r="A57" s="42" t="s">
        <v>94</v>
      </c>
      <c r="B57" s="3">
        <v>5300</v>
      </c>
      <c r="C57" s="3" t="s">
        <v>216</v>
      </c>
      <c r="D57" s="3">
        <v>5300</v>
      </c>
      <c r="E57" s="32">
        <v>1.5800000000000002E-2</v>
      </c>
      <c r="F57" s="3">
        <v>5197.5</v>
      </c>
      <c r="G57" s="3">
        <v>5415</v>
      </c>
      <c r="H57" s="3">
        <v>5303.57</v>
      </c>
      <c r="I57" s="3">
        <v>85960285</v>
      </c>
      <c r="J57" s="3">
        <v>16208</v>
      </c>
    </row>
    <row r="58" spans="1:10" x14ac:dyDescent="0.3">
      <c r="A58" s="42" t="s">
        <v>95</v>
      </c>
      <c r="B58" s="3">
        <v>86.5</v>
      </c>
      <c r="C58" s="3" t="s">
        <v>217</v>
      </c>
      <c r="D58" s="3">
        <v>86.5</v>
      </c>
      <c r="E58" s="32">
        <v>2.3099999999999999E-2</v>
      </c>
      <c r="F58" s="3">
        <v>83.9</v>
      </c>
      <c r="G58" s="3">
        <v>86.95</v>
      </c>
      <c r="H58" s="3">
        <v>85.53</v>
      </c>
      <c r="I58" s="3">
        <v>451393237</v>
      </c>
      <c r="J58" s="3">
        <v>5277515</v>
      </c>
    </row>
    <row r="59" spans="1:10" x14ac:dyDescent="0.3">
      <c r="A59" s="42" t="s">
        <v>28</v>
      </c>
      <c r="B59" s="3">
        <v>23.16</v>
      </c>
      <c r="C59" s="3" t="s">
        <v>218</v>
      </c>
      <c r="D59" s="3">
        <v>23.18</v>
      </c>
      <c r="E59" s="32">
        <v>-1.11E-2</v>
      </c>
      <c r="F59" s="3">
        <v>23.06</v>
      </c>
      <c r="G59" s="3">
        <v>23.62</v>
      </c>
      <c r="H59" s="3">
        <v>23.37</v>
      </c>
      <c r="I59" s="3">
        <v>1155662019</v>
      </c>
      <c r="J59" s="3">
        <v>49457404</v>
      </c>
    </row>
    <row r="60" spans="1:10" x14ac:dyDescent="0.3">
      <c r="A60" s="42" t="s">
        <v>4</v>
      </c>
      <c r="B60" s="3">
        <v>22.04</v>
      </c>
      <c r="C60" s="3" t="s">
        <v>219</v>
      </c>
      <c r="D60" s="3">
        <v>22.06</v>
      </c>
      <c r="E60" s="32">
        <v>-2.3E-2</v>
      </c>
      <c r="F60" s="3">
        <v>21.98</v>
      </c>
      <c r="G60" s="3">
        <v>22.52</v>
      </c>
      <c r="H60" s="3">
        <v>22.2</v>
      </c>
      <c r="I60" s="3">
        <v>824964478</v>
      </c>
      <c r="J60" s="3">
        <v>37154370</v>
      </c>
    </row>
    <row r="61" spans="1:10" x14ac:dyDescent="0.3">
      <c r="A61" s="42" t="s">
        <v>96</v>
      </c>
      <c r="B61" s="3">
        <v>97.95</v>
      </c>
      <c r="C61" s="3" t="s">
        <v>220</v>
      </c>
      <c r="D61" s="3">
        <v>97.95</v>
      </c>
      <c r="E61" s="32">
        <v>-3.5999999999999999E-3</v>
      </c>
      <c r="F61" s="3">
        <v>96.5</v>
      </c>
      <c r="G61" s="3">
        <v>101.8</v>
      </c>
      <c r="H61" s="3">
        <v>98.39</v>
      </c>
      <c r="I61" s="3">
        <v>1626793057</v>
      </c>
      <c r="J61" s="3">
        <v>16706611</v>
      </c>
    </row>
    <row r="62" spans="1:10" x14ac:dyDescent="0.3">
      <c r="A62" s="42" t="s">
        <v>97</v>
      </c>
      <c r="B62" s="3">
        <v>26.2</v>
      </c>
      <c r="C62" s="3" t="s">
        <v>221</v>
      </c>
      <c r="D62" s="3">
        <v>26.22</v>
      </c>
      <c r="E62" s="32">
        <v>-2.3E-3</v>
      </c>
      <c r="F62" s="3">
        <v>26.06</v>
      </c>
      <c r="G62" s="3">
        <v>26.72</v>
      </c>
      <c r="H62" s="3">
        <v>26.42</v>
      </c>
      <c r="I62" s="3">
        <v>126962545</v>
      </c>
      <c r="J62" s="3">
        <v>4806022</v>
      </c>
    </row>
    <row r="63" spans="1:10" x14ac:dyDescent="0.3">
      <c r="A63" s="42" t="s">
        <v>98</v>
      </c>
      <c r="B63" s="3">
        <v>33.94</v>
      </c>
      <c r="C63" s="3" t="s">
        <v>222</v>
      </c>
      <c r="D63" s="3">
        <v>34</v>
      </c>
      <c r="E63" s="32">
        <v>3.73E-2</v>
      </c>
      <c r="F63" s="3">
        <v>32.200000000000003</v>
      </c>
      <c r="G63" s="3">
        <v>34.28</v>
      </c>
      <c r="H63" s="3">
        <v>33.18</v>
      </c>
      <c r="I63" s="3">
        <v>255567889</v>
      </c>
      <c r="J63" s="3">
        <v>7702733</v>
      </c>
    </row>
    <row r="64" spans="1:10" x14ac:dyDescent="0.3">
      <c r="A64" s="42" t="s">
        <v>99</v>
      </c>
      <c r="B64" s="3">
        <v>30.58</v>
      </c>
      <c r="C64" s="3" t="s">
        <v>223</v>
      </c>
      <c r="D64" s="3">
        <v>30.58</v>
      </c>
      <c r="E64" s="32">
        <v>-9.7000000000000003E-3</v>
      </c>
      <c r="F64" s="3">
        <v>30.26</v>
      </c>
      <c r="G64" s="3">
        <v>32.04</v>
      </c>
      <c r="H64" s="3">
        <v>30.6</v>
      </c>
      <c r="I64" s="3">
        <v>266262241</v>
      </c>
      <c r="J64" s="3">
        <v>8701985</v>
      </c>
    </row>
    <row r="65" spans="1:10" x14ac:dyDescent="0.3">
      <c r="A65" s="42" t="s">
        <v>100</v>
      </c>
      <c r="B65" s="3">
        <v>477</v>
      </c>
      <c r="C65" s="3" t="s">
        <v>224</v>
      </c>
      <c r="D65" s="3">
        <v>477</v>
      </c>
      <c r="E65" s="32">
        <v>-1.95E-2</v>
      </c>
      <c r="F65" s="3">
        <v>474</v>
      </c>
      <c r="G65" s="3">
        <v>486.25</v>
      </c>
      <c r="H65" s="3">
        <v>478.79</v>
      </c>
      <c r="I65" s="3">
        <v>801315459</v>
      </c>
      <c r="J65" s="3">
        <v>1673635</v>
      </c>
    </row>
    <row r="66" spans="1:10" x14ac:dyDescent="0.3">
      <c r="A66" s="42" t="s">
        <v>101</v>
      </c>
      <c r="B66" s="3">
        <v>30.84</v>
      </c>
      <c r="C66" s="3" t="s">
        <v>225</v>
      </c>
      <c r="D66" s="3">
        <v>30.84</v>
      </c>
      <c r="E66" s="32">
        <v>-9.5999999999999992E-3</v>
      </c>
      <c r="F66" s="3">
        <v>30.8</v>
      </c>
      <c r="G66" s="3">
        <v>31.32</v>
      </c>
      <c r="H66" s="3">
        <v>30.99</v>
      </c>
      <c r="I66" s="3">
        <v>196735593</v>
      </c>
      <c r="J66" s="3">
        <v>6347658</v>
      </c>
    </row>
    <row r="67" spans="1:10" x14ac:dyDescent="0.3">
      <c r="A67" s="42" t="s">
        <v>102</v>
      </c>
      <c r="B67" s="3">
        <v>315.25</v>
      </c>
      <c r="C67" s="3" t="s">
        <v>226</v>
      </c>
      <c r="D67" s="3">
        <v>315.25</v>
      </c>
      <c r="E67" s="32">
        <v>-3.8100000000000002E-2</v>
      </c>
      <c r="F67" s="3">
        <v>315.25</v>
      </c>
      <c r="G67" s="3">
        <v>330.25</v>
      </c>
      <c r="H67" s="3">
        <v>320.77999999999997</v>
      </c>
      <c r="I67" s="3">
        <v>155456195</v>
      </c>
      <c r="J67" s="3">
        <v>484614</v>
      </c>
    </row>
    <row r="68" spans="1:10" x14ac:dyDescent="0.3">
      <c r="A68" s="42" t="s">
        <v>103</v>
      </c>
      <c r="B68" s="3">
        <v>49.44</v>
      </c>
      <c r="C68" s="3" t="s">
        <v>227</v>
      </c>
      <c r="D68" s="3">
        <v>49.46</v>
      </c>
      <c r="E68" s="32">
        <v>-4.7999999999999996E-3</v>
      </c>
      <c r="F68" s="3">
        <v>46.22</v>
      </c>
      <c r="G68" s="3">
        <v>53.05</v>
      </c>
      <c r="H68" s="3">
        <v>50.21</v>
      </c>
      <c r="I68" s="3">
        <v>1410629885</v>
      </c>
      <c r="J68" s="3">
        <v>28096841</v>
      </c>
    </row>
    <row r="69" spans="1:10" x14ac:dyDescent="0.3">
      <c r="A69" s="42" t="s">
        <v>104</v>
      </c>
      <c r="B69" s="3">
        <v>4.6900000000000004</v>
      </c>
      <c r="C69" s="3" t="s">
        <v>228</v>
      </c>
      <c r="D69" s="3">
        <v>4.71</v>
      </c>
      <c r="E69" s="32">
        <v>-4.2900000000000001E-2</v>
      </c>
      <c r="F69" s="3">
        <v>4.6900000000000004</v>
      </c>
      <c r="G69" s="3">
        <v>4.93</v>
      </c>
      <c r="H69" s="3">
        <v>4.79</v>
      </c>
      <c r="I69" s="3">
        <v>158656949</v>
      </c>
      <c r="J69" s="3">
        <v>33117846</v>
      </c>
    </row>
    <row r="70" spans="1:10" x14ac:dyDescent="0.3">
      <c r="A70" s="42" t="s">
        <v>105</v>
      </c>
      <c r="B70" s="3">
        <v>388</v>
      </c>
      <c r="C70" s="3" t="s">
        <v>229</v>
      </c>
      <c r="D70" s="3">
        <v>388</v>
      </c>
      <c r="E70" s="32">
        <v>5.1999999999999998E-3</v>
      </c>
      <c r="F70" s="3">
        <v>377.75</v>
      </c>
      <c r="G70" s="3">
        <v>390.75</v>
      </c>
      <c r="H70" s="3">
        <v>385.26</v>
      </c>
      <c r="I70" s="3">
        <v>98654727</v>
      </c>
      <c r="J70" s="3">
        <v>256074</v>
      </c>
    </row>
    <row r="71" spans="1:10" x14ac:dyDescent="0.3">
      <c r="A71" s="42" t="s">
        <v>106</v>
      </c>
      <c r="B71" s="3">
        <v>21</v>
      </c>
      <c r="C71" s="3" t="s">
        <v>230</v>
      </c>
      <c r="D71" s="3">
        <v>21.02</v>
      </c>
      <c r="E71" s="32">
        <v>2.8999999999999998E-3</v>
      </c>
      <c r="F71" s="3">
        <v>20.74</v>
      </c>
      <c r="G71" s="3">
        <v>21.64</v>
      </c>
      <c r="H71" s="3">
        <v>21.16</v>
      </c>
      <c r="I71" s="3">
        <v>544419131</v>
      </c>
      <c r="J71" s="3">
        <v>25734858</v>
      </c>
    </row>
    <row r="72" spans="1:10" x14ac:dyDescent="0.3">
      <c r="A72" s="42" t="s">
        <v>107</v>
      </c>
      <c r="B72" s="3">
        <v>78.05</v>
      </c>
      <c r="C72" s="3" t="s">
        <v>231</v>
      </c>
      <c r="D72" s="3">
        <v>78.05</v>
      </c>
      <c r="E72" s="32">
        <v>3.3799999999999997E-2</v>
      </c>
      <c r="F72" s="3">
        <v>75.099999999999994</v>
      </c>
      <c r="G72" s="3">
        <v>78.05</v>
      </c>
      <c r="H72" s="3">
        <v>77.37</v>
      </c>
      <c r="I72" s="3">
        <v>787675344</v>
      </c>
      <c r="J72" s="3">
        <v>10180776</v>
      </c>
    </row>
    <row r="73" spans="1:10" x14ac:dyDescent="0.3">
      <c r="A73" s="42" t="s">
        <v>30</v>
      </c>
      <c r="B73" s="3">
        <v>16.3</v>
      </c>
      <c r="C73" s="3" t="s">
        <v>232</v>
      </c>
      <c r="D73" s="3">
        <v>16.3</v>
      </c>
      <c r="E73" s="32">
        <v>-6.7000000000000002E-3</v>
      </c>
      <c r="F73" s="3">
        <v>16.12</v>
      </c>
      <c r="G73" s="3">
        <v>16.43</v>
      </c>
      <c r="H73" s="3">
        <v>16.239999999999998</v>
      </c>
      <c r="I73" s="3">
        <v>598671593</v>
      </c>
      <c r="J73" s="3">
        <v>36866712</v>
      </c>
    </row>
    <row r="74" spans="1:10" x14ac:dyDescent="0.3">
      <c r="A74" s="42" t="s">
        <v>108</v>
      </c>
      <c r="B74" s="3">
        <v>241.2</v>
      </c>
      <c r="C74" s="3" t="s">
        <v>233</v>
      </c>
      <c r="D74" s="3">
        <v>241.3</v>
      </c>
      <c r="E74" s="32">
        <v>1.1999999999999999E-3</v>
      </c>
      <c r="F74" s="3">
        <v>240</v>
      </c>
      <c r="G74" s="3">
        <v>244.3</v>
      </c>
      <c r="H74" s="3">
        <v>242.13</v>
      </c>
      <c r="I74" s="3">
        <v>1891791342</v>
      </c>
      <c r="J74" s="3">
        <v>7813091</v>
      </c>
    </row>
    <row r="75" spans="1:10" x14ac:dyDescent="0.3">
      <c r="A75" s="42" t="s">
        <v>109</v>
      </c>
      <c r="B75" s="3">
        <v>131.19999999999999</v>
      </c>
      <c r="C75" s="3" t="s">
        <v>234</v>
      </c>
      <c r="D75" s="3">
        <v>131.19999999999999</v>
      </c>
      <c r="E75" s="32">
        <v>-4.3700000000000003E-2</v>
      </c>
      <c r="F75" s="3">
        <v>130.5</v>
      </c>
      <c r="G75" s="3">
        <v>140.19999999999999</v>
      </c>
      <c r="H75" s="3">
        <v>132.69999999999999</v>
      </c>
      <c r="I75" s="3">
        <v>889744015</v>
      </c>
      <c r="J75" s="3">
        <v>6705187</v>
      </c>
    </row>
    <row r="76" spans="1:10" x14ac:dyDescent="0.3">
      <c r="A76" s="42" t="s">
        <v>110</v>
      </c>
      <c r="B76" s="3">
        <v>11.48</v>
      </c>
      <c r="C76" s="3" t="s">
        <v>235</v>
      </c>
      <c r="D76" s="3">
        <v>11.5</v>
      </c>
      <c r="E76" s="32">
        <v>-2.7099999999999999E-2</v>
      </c>
      <c r="F76" s="3">
        <v>11.48</v>
      </c>
      <c r="G76" s="3">
        <v>11.8</v>
      </c>
      <c r="H76" s="3">
        <v>11.58</v>
      </c>
      <c r="I76" s="3">
        <v>143730375</v>
      </c>
      <c r="J76" s="3">
        <v>12407584</v>
      </c>
    </row>
    <row r="77" spans="1:10" x14ac:dyDescent="0.3">
      <c r="A77" s="42" t="s">
        <v>111</v>
      </c>
      <c r="B77" s="3">
        <v>12.86</v>
      </c>
      <c r="C77" s="3" t="s">
        <v>236</v>
      </c>
      <c r="D77" s="3">
        <v>12.88</v>
      </c>
      <c r="E77" s="32">
        <v>1.18E-2</v>
      </c>
      <c r="F77" s="3">
        <v>12.59</v>
      </c>
      <c r="G77" s="3">
        <v>12.95</v>
      </c>
      <c r="H77" s="3">
        <v>12.82</v>
      </c>
      <c r="I77" s="3">
        <v>152085161</v>
      </c>
      <c r="J77" s="3">
        <v>11860529</v>
      </c>
    </row>
    <row r="78" spans="1:10" x14ac:dyDescent="0.3">
      <c r="A78" s="42" t="s">
        <v>112</v>
      </c>
      <c r="B78" s="3">
        <v>77.3</v>
      </c>
      <c r="C78" s="3" t="s">
        <v>237</v>
      </c>
      <c r="D78" s="3">
        <v>77.3</v>
      </c>
      <c r="E78" s="32">
        <v>-1.9E-3</v>
      </c>
      <c r="F78" s="3">
        <v>74.400000000000006</v>
      </c>
      <c r="G78" s="3">
        <v>77.75</v>
      </c>
      <c r="H78" s="3">
        <v>76.319999999999993</v>
      </c>
      <c r="I78" s="3">
        <v>3111050792</v>
      </c>
      <c r="J78" s="3">
        <v>40764419</v>
      </c>
    </row>
    <row r="79" spans="1:10" x14ac:dyDescent="0.3">
      <c r="A79" s="42" t="s">
        <v>33</v>
      </c>
      <c r="B79" s="3">
        <v>3.28</v>
      </c>
      <c r="C79" s="3" t="s">
        <v>238</v>
      </c>
      <c r="D79" s="3">
        <v>3.28</v>
      </c>
      <c r="E79" s="32">
        <v>-6.1000000000000004E-3</v>
      </c>
      <c r="F79" s="3">
        <v>3.18</v>
      </c>
      <c r="G79" s="3">
        <v>3.33</v>
      </c>
      <c r="H79" s="3">
        <v>3.24</v>
      </c>
      <c r="I79" s="3">
        <v>1887850730</v>
      </c>
      <c r="J79" s="3">
        <v>583080000</v>
      </c>
    </row>
    <row r="80" spans="1:10" x14ac:dyDescent="0.3">
      <c r="A80" s="42" t="s">
        <v>113</v>
      </c>
      <c r="B80" s="3">
        <v>68.400000000000006</v>
      </c>
      <c r="C80" s="3" t="s">
        <v>239</v>
      </c>
      <c r="D80" s="3">
        <v>68.400000000000006</v>
      </c>
      <c r="E80" s="32">
        <v>2.1700000000000001E-2</v>
      </c>
      <c r="F80" s="3">
        <v>67</v>
      </c>
      <c r="G80" s="3">
        <v>68.400000000000006</v>
      </c>
      <c r="H80" s="3">
        <v>67.959999999999994</v>
      </c>
      <c r="I80" s="3">
        <v>147748054</v>
      </c>
      <c r="J80" s="3">
        <v>2174145</v>
      </c>
    </row>
    <row r="81" spans="1:10" x14ac:dyDescent="0.3">
      <c r="A81" s="42" t="s">
        <v>3</v>
      </c>
      <c r="B81" s="3">
        <v>33</v>
      </c>
      <c r="C81" s="3" t="s">
        <v>240</v>
      </c>
      <c r="D81" s="3">
        <v>33.020000000000003</v>
      </c>
      <c r="E81" s="32">
        <v>-1.67E-2</v>
      </c>
      <c r="F81" s="3">
        <v>32.9</v>
      </c>
      <c r="G81" s="3">
        <v>33.619999999999997</v>
      </c>
      <c r="H81" s="3">
        <v>33.119999999999997</v>
      </c>
      <c r="I81" s="3">
        <v>977034970</v>
      </c>
      <c r="J81" s="3">
        <v>29502616</v>
      </c>
    </row>
    <row r="82" spans="1:10" x14ac:dyDescent="0.3">
      <c r="A82" s="42" t="s">
        <v>114</v>
      </c>
      <c r="B82" s="3">
        <v>4.51</v>
      </c>
      <c r="C82" s="3" t="s">
        <v>241</v>
      </c>
      <c r="D82" s="3">
        <v>4.5199999999999996</v>
      </c>
      <c r="E82" s="32">
        <v>-4.65E-2</v>
      </c>
      <c r="F82" s="3">
        <v>4.51</v>
      </c>
      <c r="G82" s="3">
        <v>4.74</v>
      </c>
      <c r="H82" s="3">
        <v>4.6100000000000003</v>
      </c>
      <c r="I82" s="3">
        <v>94655486</v>
      </c>
      <c r="J82" s="3">
        <v>20555374</v>
      </c>
    </row>
    <row r="83" spans="1:10" x14ac:dyDescent="0.3">
      <c r="A83" s="42" t="s">
        <v>115</v>
      </c>
      <c r="B83" s="3">
        <v>27.96</v>
      </c>
      <c r="C83" s="3" t="s">
        <v>242</v>
      </c>
      <c r="D83" s="3">
        <v>27.96</v>
      </c>
      <c r="E83" s="32">
        <v>-9.1999999999999998E-3</v>
      </c>
      <c r="F83" s="3">
        <v>27.34</v>
      </c>
      <c r="G83" s="3">
        <v>28.54</v>
      </c>
      <c r="H83" s="3">
        <v>27.62</v>
      </c>
      <c r="I83" s="3">
        <v>73893140</v>
      </c>
      <c r="J83" s="3">
        <v>2675615</v>
      </c>
    </row>
    <row r="84" spans="1:10" x14ac:dyDescent="0.3">
      <c r="A84" s="42" t="s">
        <v>116</v>
      </c>
      <c r="B84" s="3">
        <v>33.18</v>
      </c>
      <c r="C84" s="3" t="s">
        <v>243</v>
      </c>
      <c r="D84" s="3">
        <v>33.18</v>
      </c>
      <c r="E84" s="32">
        <v>-4.4900000000000002E-2</v>
      </c>
      <c r="F84" s="3">
        <v>32.979999999999997</v>
      </c>
      <c r="G84" s="3">
        <v>34.700000000000003</v>
      </c>
      <c r="H84" s="3">
        <v>33.479999999999997</v>
      </c>
      <c r="I84" s="3">
        <v>463317241</v>
      </c>
      <c r="J84" s="3">
        <v>13839383</v>
      </c>
    </row>
    <row r="85" spans="1:10" x14ac:dyDescent="0.3">
      <c r="A85" s="42" t="s">
        <v>117</v>
      </c>
      <c r="B85" s="3">
        <v>173</v>
      </c>
      <c r="C85" s="3" t="s">
        <v>244</v>
      </c>
      <c r="D85" s="3">
        <v>173</v>
      </c>
      <c r="E85" s="32">
        <v>1.8200000000000001E-2</v>
      </c>
      <c r="F85" s="3">
        <v>167.5</v>
      </c>
      <c r="G85" s="3">
        <v>174.2</v>
      </c>
      <c r="H85" s="3">
        <v>170.95</v>
      </c>
      <c r="I85" s="3">
        <v>135593429</v>
      </c>
      <c r="J85" s="3">
        <v>793201</v>
      </c>
    </row>
    <row r="86" spans="1:10" x14ac:dyDescent="0.3">
      <c r="A86" s="42" t="s">
        <v>118</v>
      </c>
      <c r="B86" s="3">
        <v>217.9</v>
      </c>
      <c r="C86" s="3" t="s">
        <v>245</v>
      </c>
      <c r="D86" s="3">
        <v>217.9</v>
      </c>
      <c r="E86" s="32">
        <v>-1.7100000000000001E-2</v>
      </c>
      <c r="F86" s="3">
        <v>216.5</v>
      </c>
      <c r="G86" s="3">
        <v>222.5</v>
      </c>
      <c r="H86" s="3">
        <v>218.84</v>
      </c>
      <c r="I86" s="3">
        <v>427700566</v>
      </c>
      <c r="J86" s="3">
        <v>1954405</v>
      </c>
    </row>
    <row r="87" spans="1:10" x14ac:dyDescent="0.3">
      <c r="A87" s="42" t="s">
        <v>119</v>
      </c>
      <c r="B87" s="3">
        <v>94.85</v>
      </c>
      <c r="C87" s="3" t="s">
        <v>246</v>
      </c>
      <c r="D87" s="3">
        <v>94.9</v>
      </c>
      <c r="E87" s="32">
        <v>-6.7999999999999996E-3</v>
      </c>
      <c r="F87" s="3">
        <v>91.75</v>
      </c>
      <c r="G87" s="3">
        <v>95.7</v>
      </c>
      <c r="H87" s="3">
        <v>93.91</v>
      </c>
      <c r="I87" s="3">
        <v>2064802262</v>
      </c>
      <c r="J87" s="3">
        <v>21988269</v>
      </c>
    </row>
    <row r="88" spans="1:10" x14ac:dyDescent="0.3">
      <c r="A88" s="42" t="s">
        <v>2</v>
      </c>
      <c r="B88" s="3">
        <v>273.25</v>
      </c>
      <c r="C88" s="3" t="s">
        <v>247</v>
      </c>
      <c r="D88" s="3">
        <v>273.5</v>
      </c>
      <c r="E88" s="32">
        <v>-1.89E-2</v>
      </c>
      <c r="F88" s="3">
        <v>273</v>
      </c>
      <c r="G88" s="3">
        <v>280.25</v>
      </c>
      <c r="H88" s="3">
        <v>276.24</v>
      </c>
      <c r="I88" s="3">
        <v>6861374385</v>
      </c>
      <c r="J88" s="3">
        <v>24838082</v>
      </c>
    </row>
    <row r="89" spans="1:10" x14ac:dyDescent="0.3">
      <c r="A89" s="42" t="s">
        <v>120</v>
      </c>
      <c r="B89" s="3">
        <v>111</v>
      </c>
      <c r="C89" s="3" t="s">
        <v>248</v>
      </c>
      <c r="D89" s="3">
        <v>111.3</v>
      </c>
      <c r="E89" s="32">
        <v>-4.2299999999999997E-2</v>
      </c>
      <c r="F89" s="3">
        <v>111</v>
      </c>
      <c r="G89" s="3">
        <v>116.9</v>
      </c>
      <c r="H89" s="3">
        <v>112.89</v>
      </c>
      <c r="I89" s="3">
        <v>438809804</v>
      </c>
      <c r="J89" s="3">
        <v>3887225</v>
      </c>
    </row>
    <row r="90" spans="1:10" x14ac:dyDescent="0.3">
      <c r="A90" s="42" t="s">
        <v>31</v>
      </c>
      <c r="B90" s="3">
        <v>177</v>
      </c>
      <c r="C90" s="3" t="s">
        <v>249</v>
      </c>
      <c r="D90" s="3">
        <v>177</v>
      </c>
      <c r="E90" s="32">
        <v>-2.2599999999999999E-2</v>
      </c>
      <c r="F90" s="3">
        <v>177</v>
      </c>
      <c r="G90" s="3">
        <v>184.7</v>
      </c>
      <c r="H90" s="3">
        <v>180.65</v>
      </c>
      <c r="I90" s="3">
        <v>902092492</v>
      </c>
      <c r="J90" s="3">
        <v>4993605</v>
      </c>
    </row>
    <row r="91" spans="1:10" x14ac:dyDescent="0.3">
      <c r="A91" s="42" t="s">
        <v>121</v>
      </c>
      <c r="B91" s="3">
        <v>10.9</v>
      </c>
      <c r="C91" s="3" t="s">
        <v>250</v>
      </c>
      <c r="D91" s="3">
        <v>10.9</v>
      </c>
      <c r="E91" s="32">
        <v>-4.6399999999999997E-2</v>
      </c>
      <c r="F91" s="3">
        <v>10.65</v>
      </c>
      <c r="G91" s="3">
        <v>11.41</v>
      </c>
      <c r="H91" s="3">
        <v>10.96</v>
      </c>
      <c r="I91" s="3">
        <v>442960192</v>
      </c>
      <c r="J91" s="3">
        <v>40435926</v>
      </c>
    </row>
    <row r="92" spans="1:10" x14ac:dyDescent="0.3">
      <c r="A92" s="42" t="s">
        <v>122</v>
      </c>
      <c r="B92" s="3">
        <v>55.15</v>
      </c>
      <c r="C92" s="3" t="s">
        <v>251</v>
      </c>
      <c r="D92" s="3">
        <v>55.2</v>
      </c>
      <c r="E92" s="32">
        <v>-6.13E-2</v>
      </c>
      <c r="F92" s="3">
        <v>55.05</v>
      </c>
      <c r="G92" s="3">
        <v>59.5</v>
      </c>
      <c r="H92" s="3">
        <v>57.08</v>
      </c>
      <c r="I92" s="3">
        <v>1044169275</v>
      </c>
      <c r="J92" s="3">
        <v>18291829</v>
      </c>
    </row>
    <row r="93" spans="1:10" x14ac:dyDescent="0.3">
      <c r="A93" s="42" t="s">
        <v>123</v>
      </c>
      <c r="B93" s="3">
        <v>559</v>
      </c>
      <c r="C93" s="3" t="s">
        <v>252</v>
      </c>
      <c r="D93" s="3">
        <v>559.5</v>
      </c>
      <c r="E93" s="32">
        <v>-1.15E-2</v>
      </c>
      <c r="F93" s="3">
        <v>556.5</v>
      </c>
      <c r="G93" s="3">
        <v>566</v>
      </c>
      <c r="H93" s="3">
        <v>558.99</v>
      </c>
      <c r="I93" s="3">
        <v>102414575</v>
      </c>
      <c r="J93" s="3">
        <v>183215</v>
      </c>
    </row>
    <row r="94" spans="1:10" x14ac:dyDescent="0.3">
      <c r="A94" s="42" t="s">
        <v>25</v>
      </c>
      <c r="B94" s="3">
        <v>124</v>
      </c>
      <c r="C94" s="3" t="s">
        <v>253</v>
      </c>
      <c r="D94" s="3">
        <v>124.1</v>
      </c>
      <c r="E94" s="32">
        <v>-1.5900000000000001E-2</v>
      </c>
      <c r="F94" s="3">
        <v>124</v>
      </c>
      <c r="G94" s="3">
        <v>125.8</v>
      </c>
      <c r="H94" s="3">
        <v>124.76</v>
      </c>
      <c r="I94" s="3">
        <v>1355406422</v>
      </c>
      <c r="J94" s="3">
        <v>10864453</v>
      </c>
    </row>
    <row r="95" spans="1:10" x14ac:dyDescent="0.3">
      <c r="A95" s="42" t="s">
        <v>124</v>
      </c>
      <c r="B95" s="3">
        <v>16.5</v>
      </c>
      <c r="C95" s="3" t="s">
        <v>254</v>
      </c>
      <c r="D95" s="3">
        <v>16.5</v>
      </c>
      <c r="E95" s="32">
        <v>-2.3999999999999998E-3</v>
      </c>
      <c r="F95" s="3">
        <v>16.28</v>
      </c>
      <c r="G95" s="3">
        <v>16.75</v>
      </c>
      <c r="H95" s="3">
        <v>16.46</v>
      </c>
      <c r="I95" s="3">
        <v>101459229</v>
      </c>
      <c r="J95" s="3">
        <v>6164550</v>
      </c>
    </row>
    <row r="96" spans="1:10" x14ac:dyDescent="0.3">
      <c r="A96" s="42" t="s">
        <v>125</v>
      </c>
      <c r="B96" s="3">
        <v>105.6</v>
      </c>
      <c r="C96" s="3" t="s">
        <v>255</v>
      </c>
      <c r="D96" s="3">
        <v>105.6</v>
      </c>
      <c r="E96" s="32">
        <v>-2.4E-2</v>
      </c>
      <c r="F96" s="3">
        <v>105.1</v>
      </c>
      <c r="G96" s="3">
        <v>108.1</v>
      </c>
      <c r="H96" s="3">
        <v>106.34</v>
      </c>
      <c r="I96" s="3">
        <v>590218449</v>
      </c>
      <c r="J96" s="3">
        <v>5550098</v>
      </c>
    </row>
    <row r="97" spans="1:10" x14ac:dyDescent="0.3">
      <c r="A97" s="42" t="s">
        <v>34</v>
      </c>
      <c r="B97" s="3">
        <v>22.54</v>
      </c>
      <c r="C97" s="3" t="s">
        <v>256</v>
      </c>
      <c r="D97" s="3">
        <v>22.54</v>
      </c>
      <c r="E97" s="32">
        <v>-7.9000000000000008E-3</v>
      </c>
      <c r="F97" s="3">
        <v>22.12</v>
      </c>
      <c r="G97" s="3">
        <v>22.7</v>
      </c>
      <c r="H97" s="3">
        <v>22.38</v>
      </c>
      <c r="I97" s="3">
        <v>425666067</v>
      </c>
      <c r="J97" s="3">
        <v>19019084</v>
      </c>
    </row>
    <row r="98" spans="1:10" x14ac:dyDescent="0.3">
      <c r="A98" s="42" t="s">
        <v>126</v>
      </c>
      <c r="B98" s="3">
        <v>33.119999999999997</v>
      </c>
      <c r="C98" s="3" t="s">
        <v>257</v>
      </c>
      <c r="D98" s="3">
        <v>33.46</v>
      </c>
      <c r="E98" s="32">
        <v>-8.4599999999999995E-2</v>
      </c>
      <c r="F98" s="3">
        <v>33.119999999999997</v>
      </c>
      <c r="G98" s="3">
        <v>36.159999999999997</v>
      </c>
      <c r="H98" s="3">
        <v>34.340000000000003</v>
      </c>
      <c r="I98" s="3">
        <v>458750968</v>
      </c>
      <c r="J98" s="3">
        <v>13360354</v>
      </c>
    </row>
    <row r="99" spans="1:10" x14ac:dyDescent="0.3">
      <c r="A99" s="42" t="s">
        <v>127</v>
      </c>
      <c r="B99" s="3">
        <v>40.020000000000003</v>
      </c>
      <c r="C99" s="3" t="s">
        <v>258</v>
      </c>
      <c r="D99" s="3">
        <v>40.020000000000003</v>
      </c>
      <c r="E99" s="32">
        <v>3.0000000000000001E-3</v>
      </c>
      <c r="F99" s="3">
        <v>39.340000000000003</v>
      </c>
      <c r="G99" s="3">
        <v>40.159999999999997</v>
      </c>
      <c r="H99" s="3">
        <v>39.619999999999997</v>
      </c>
      <c r="I99" s="3">
        <v>101212263</v>
      </c>
      <c r="J99" s="3">
        <v>2554839</v>
      </c>
    </row>
    <row r="100" spans="1:10" x14ac:dyDescent="0.3">
      <c r="A100" s="42" t="s">
        <v>26</v>
      </c>
      <c r="B100" s="3">
        <v>25.46</v>
      </c>
      <c r="C100" s="3" t="s">
        <v>259</v>
      </c>
      <c r="D100" s="3">
        <v>25.48</v>
      </c>
      <c r="E100" s="32">
        <v>-1.9300000000000001E-2</v>
      </c>
      <c r="F100" s="3">
        <v>25.4</v>
      </c>
      <c r="G100" s="3">
        <v>26.1</v>
      </c>
      <c r="H100" s="3">
        <v>25.58</v>
      </c>
      <c r="I100" s="3">
        <v>4874660114</v>
      </c>
      <c r="J100" s="3">
        <v>190542244</v>
      </c>
    </row>
    <row r="101" spans="1:10" x14ac:dyDescent="0.3">
      <c r="A101" s="42" t="s">
        <v>128</v>
      </c>
      <c r="B101" s="3">
        <v>2.99</v>
      </c>
      <c r="C101" s="3" t="s">
        <v>260</v>
      </c>
      <c r="D101" s="3">
        <v>2.99</v>
      </c>
      <c r="E101" s="32">
        <v>-6.6E-3</v>
      </c>
      <c r="F101" s="3">
        <v>2.95</v>
      </c>
      <c r="G101" s="3">
        <v>3.01</v>
      </c>
      <c r="H101" s="3">
        <v>2.98</v>
      </c>
      <c r="I101" s="3">
        <v>66033981</v>
      </c>
      <c r="J101" s="3">
        <v>22171487</v>
      </c>
    </row>
  </sheetData>
  <conditionalFormatting sqref="E2:E1048576">
    <cfRule type="cellIs" dxfId="30" priority="1" operator="lessThan">
      <formula>0</formula>
    </cfRule>
    <cfRule type="cellIs" dxfId="29" priority="2" operator="greaterThanOr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1D6712-5C84-4A15-BC36-C7942F4B5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7</vt:i4>
      </vt:variant>
      <vt:variant>
        <vt:lpstr>Adlandırılmış Aralıklar</vt:lpstr>
      </vt:variant>
      <vt:variant>
        <vt:i4>1</vt:i4>
      </vt:variant>
    </vt:vector>
  </HeadingPairs>
  <TitlesOfParts>
    <vt:vector size="8" baseType="lpstr">
      <vt:lpstr>Kullanıcı Ekranı</vt:lpstr>
      <vt:lpstr>rapor</vt:lpstr>
      <vt:lpstr>VeriYedek</vt:lpstr>
      <vt:lpstr>Veri</vt:lpstr>
      <vt:lpstr>Portföy</vt:lpstr>
      <vt:lpstr>Gecmis</vt:lpstr>
      <vt:lpstr>BİST100</vt:lpstr>
      <vt:lpstr>Gecmis!Yazdırma_Alanı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2025-06-01T13:59:18Z</dcterms:modified>
</cp:coreProperties>
</file>